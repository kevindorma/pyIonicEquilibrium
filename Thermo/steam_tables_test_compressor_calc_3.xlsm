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3B5F04A3-181E-414B-8F10-52C567640A7D}" xr6:coauthVersionLast="45" xr6:coauthVersionMax="45" xr10:uidLastSave="{00000000-0000-0000-0000-000000000000}"/>
  <bookViews>
    <workbookView xWindow="760" yWindow="520" windowWidth="18900" windowHeight="13700" activeTab="1" xr2:uid="{00000000-000D-0000-FFFF-FFFF00000000}"/>
  </bookViews>
  <sheets>
    <sheet name="Saturated Water" sheetId="1" r:id="rId1"/>
    <sheet name="Compressor calcs" sheetId="4" r:id="rId2"/>
    <sheet name="Turbine Calcs" sheetId="10" r:id="rId3"/>
    <sheet name="Turbine Calcs (2)" sheetId="11" r:id="rId4"/>
    <sheet name="Chart1" sheetId="7" r:id="rId5"/>
    <sheet name="Sheet3" sheetId="6" r:id="rId6"/>
    <sheet name="Sheet4" sheetId="8" r:id="rId7"/>
    <sheet name="Sheet2" sheetId="5" r:id="rId8"/>
    <sheet name="VaryFire" sheetId="9" r:id="rId9"/>
    <sheet name="Superheated Steam" sheetId="2" r:id="rId10"/>
    <sheet name="General Properties" sheetId="3" r:id="rId11"/>
  </sheets>
  <functionGroups builtInGroupCount="19"/>
  <definedNames>
    <definedName name="solver_adj" localSheetId="0" hidden="1">'Saturated Water'!$AN$16</definedName>
    <definedName name="solver_adj" localSheetId="5" hidden="1">Sheet3!$Q$22:$Q$42</definedName>
    <definedName name="solver_adj" localSheetId="6" hidden="1">Sheet4!$Q$22:$Q$45</definedName>
    <definedName name="solver_adj" localSheetId="8" hidden="1">VaryFire!$Q$22:$Q$42</definedName>
    <definedName name="solver_cvg" localSheetId="0" hidden="1">0.0001</definedName>
    <definedName name="solver_cvg" localSheetId="5" hidden="1">0.0001</definedName>
    <definedName name="solver_cvg" localSheetId="6" hidden="1">0.0001</definedName>
    <definedName name="solver_cvg" localSheetId="8" hidden="1">0.0001</definedName>
    <definedName name="solver_drv" localSheetId="0" hidden="1">1</definedName>
    <definedName name="solver_drv" localSheetId="5" hidden="1">2</definedName>
    <definedName name="solver_drv" localSheetId="6" hidden="1">1</definedName>
    <definedName name="solver_drv" localSheetId="8" hidden="1">2</definedName>
    <definedName name="solver_eng" localSheetId="0" hidden="1">1</definedName>
    <definedName name="solver_eng" localSheetId="5" hidden="1">1</definedName>
    <definedName name="solver_eng" localSheetId="6" hidden="1">1</definedName>
    <definedName name="solver_eng" localSheetId="8" hidden="1">1</definedName>
    <definedName name="solver_est" localSheetId="0" hidden="1">1</definedName>
    <definedName name="solver_itr" localSheetId="0" hidden="1">100</definedName>
    <definedName name="solver_itr" localSheetId="5" hidden="1">2147483647</definedName>
    <definedName name="solver_itr" localSheetId="6" hidden="1">2147483647</definedName>
    <definedName name="solver_itr" localSheetId="8" hidden="1">2147483647</definedName>
    <definedName name="solver_lhs1" localSheetId="0" hidden="1">'Saturated Water'!$AN$16</definedName>
    <definedName name="solver_lin" localSheetId="0" hidden="1">2</definedName>
    <definedName name="solver_lin" localSheetId="5" hidden="1">2</definedName>
    <definedName name="solver_lin" localSheetId="6" hidden="1">2</definedName>
    <definedName name="solver_lin" localSheetId="8" hidden="1">2</definedName>
    <definedName name="solver_mip" localSheetId="0" hidden="1">2147483647</definedName>
    <definedName name="solver_mip" localSheetId="5" hidden="1">2147483647</definedName>
    <definedName name="solver_mip" localSheetId="6" hidden="1">2147483647</definedName>
    <definedName name="solver_mip" localSheetId="8" hidden="1">2147483647</definedName>
    <definedName name="solver_mni" localSheetId="0" hidden="1">30</definedName>
    <definedName name="solver_mni" localSheetId="5" hidden="1">30</definedName>
    <definedName name="solver_mni" localSheetId="6" hidden="1">30</definedName>
    <definedName name="solver_mni" localSheetId="8" hidden="1">30</definedName>
    <definedName name="solver_mrt" localSheetId="0" hidden="1">0.075</definedName>
    <definedName name="solver_mrt" localSheetId="5" hidden="1">0.075</definedName>
    <definedName name="solver_mrt" localSheetId="6" hidden="1">0.075</definedName>
    <definedName name="solver_mrt" localSheetId="8" hidden="1">0.075</definedName>
    <definedName name="solver_msl" localSheetId="0" hidden="1">2</definedName>
    <definedName name="solver_msl" localSheetId="5" hidden="1">2</definedName>
    <definedName name="solver_msl" localSheetId="6" hidden="1">2</definedName>
    <definedName name="solver_msl" localSheetId="8" hidden="1">2</definedName>
    <definedName name="solver_neg" localSheetId="0" hidden="1">2</definedName>
    <definedName name="solver_neg" localSheetId="5" hidden="1">1</definedName>
    <definedName name="solver_neg" localSheetId="6" hidden="1">1</definedName>
    <definedName name="solver_neg" localSheetId="8" hidden="1">1</definedName>
    <definedName name="solver_nod" localSheetId="0" hidden="1">2147483647</definedName>
    <definedName name="solver_nod" localSheetId="5" hidden="1">2147483647</definedName>
    <definedName name="solver_nod" localSheetId="6" hidden="1">2147483647</definedName>
    <definedName name="solver_nod" localSheetId="8" hidden="1">2147483647</definedName>
    <definedName name="solver_num" localSheetId="0" hidden="1">1</definedName>
    <definedName name="solver_num" localSheetId="5" hidden="1">0</definedName>
    <definedName name="solver_num" localSheetId="6" hidden="1">0</definedName>
    <definedName name="solver_num" localSheetId="8" hidden="1">0</definedName>
    <definedName name="solver_nwt" localSheetId="0" hidden="1">1</definedName>
    <definedName name="solver_opt" localSheetId="0" hidden="1">'Saturated Water'!$AQ$22</definedName>
    <definedName name="solver_opt" localSheetId="5" hidden="1">Sheet3!$S$20</definedName>
    <definedName name="solver_opt" localSheetId="6" hidden="1">Sheet4!$S$20</definedName>
    <definedName name="solver_opt" localSheetId="8" hidden="1">VaryFire!$S$20</definedName>
    <definedName name="solver_pre" localSheetId="0" hidden="1">0.000001</definedName>
    <definedName name="solver_pre" localSheetId="5" hidden="1">0.000001</definedName>
    <definedName name="solver_pre" localSheetId="6" hidden="1">0.000001</definedName>
    <definedName name="solver_pre" localSheetId="8" hidden="1">0.000001</definedName>
    <definedName name="solver_rbv" localSheetId="0" hidden="1">1</definedName>
    <definedName name="solver_rbv" localSheetId="5" hidden="1">1</definedName>
    <definedName name="solver_rbv" localSheetId="6" hidden="1">1</definedName>
    <definedName name="solver_rbv" localSheetId="8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5" hidden="1">2</definedName>
    <definedName name="solver_rlx" localSheetId="6" hidden="1">2</definedName>
    <definedName name="solver_rlx" localSheetId="8" hidden="1">2</definedName>
    <definedName name="solver_rsd" localSheetId="0" hidden="1">0</definedName>
    <definedName name="solver_rsd" localSheetId="5" hidden="1">0</definedName>
    <definedName name="solver_rsd" localSheetId="6" hidden="1">0</definedName>
    <definedName name="solver_rsd" localSheetId="8" hidden="1">0</definedName>
    <definedName name="solver_scl" localSheetId="0" hidden="1">2</definedName>
    <definedName name="solver_scl" localSheetId="5" hidden="1">1</definedName>
    <definedName name="solver_scl" localSheetId="6" hidden="1">1</definedName>
    <definedName name="solver_scl" localSheetId="8" hidden="1">1</definedName>
    <definedName name="solver_sho" localSheetId="0" hidden="1">2</definedName>
    <definedName name="solver_sho" localSheetId="5" hidden="1">2</definedName>
    <definedName name="solver_sho" localSheetId="6" hidden="1">2</definedName>
    <definedName name="solver_sho" localSheetId="8" hidden="1">2</definedName>
    <definedName name="solver_ssz" localSheetId="0" hidden="1">100</definedName>
    <definedName name="solver_ssz" localSheetId="5" hidden="1">100</definedName>
    <definedName name="solver_ssz" localSheetId="6" hidden="1">100</definedName>
    <definedName name="solver_ssz" localSheetId="8" hidden="1">100</definedName>
    <definedName name="solver_tim" localSheetId="0" hidden="1">100</definedName>
    <definedName name="solver_tim" localSheetId="5" hidden="1">2147483647</definedName>
    <definedName name="solver_tim" localSheetId="6" hidden="1">2147483647</definedName>
    <definedName name="solver_tim" localSheetId="8" hidden="1">2147483647</definedName>
    <definedName name="solver_tol" localSheetId="0" hidden="1">0.05</definedName>
    <definedName name="solver_tol" localSheetId="5" hidden="1">0.01</definedName>
    <definedName name="solver_tol" localSheetId="6" hidden="1">0.01</definedName>
    <definedName name="solver_tol" localSheetId="8" hidden="1">0.01</definedName>
    <definedName name="solver_typ" localSheetId="0" hidden="1">2</definedName>
    <definedName name="solver_typ" localSheetId="5" hidden="1">2</definedName>
    <definedName name="solver_typ" localSheetId="6" hidden="1">2</definedName>
    <definedName name="solver_typ" localSheetId="8" hidden="1">2</definedName>
    <definedName name="solver_val" localSheetId="0" hidden="1">35.5</definedName>
    <definedName name="solver_val" localSheetId="5" hidden="1">0</definedName>
    <definedName name="solver_val" localSheetId="6" hidden="1">0</definedName>
    <definedName name="solver_val" localSheetId="8" hidden="1">0</definedName>
    <definedName name="solver_ver" localSheetId="0" hidden="1">2</definedName>
    <definedName name="solver_ver" localSheetId="5" hidden="1">2</definedName>
    <definedName name="solver_ver" localSheetId="6" hidden="1">2</definedName>
    <definedName name="solver_ver" localSheetId="8" hidden="1">2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" i="4" l="1"/>
  <c r="C55" i="4"/>
  <c r="C49" i="4"/>
  <c r="C20" i="4"/>
  <c r="C48" i="4"/>
  <c r="C45" i="4"/>
  <c r="C47" i="4" s="1"/>
  <c r="C42" i="4"/>
  <c r="C60" i="4" s="1"/>
  <c r="C41" i="4"/>
  <c r="C50" i="4"/>
  <c r="C19" i="4" a="1"/>
  <c r="C19" i="4" l="1"/>
  <c r="C21" i="4"/>
  <c r="C51" i="4"/>
  <c r="C52" i="4" s="1"/>
  <c r="C58" i="4" s="1"/>
  <c r="C54" i="4" s="1"/>
  <c r="C63" i="4" s="1"/>
  <c r="C56" i="4"/>
  <c r="C57" i="4" s="1"/>
  <c r="C59" i="4" l="1"/>
  <c r="C64" i="4"/>
  <c r="C66" i="4"/>
  <c r="C18" i="4" l="1"/>
  <c r="C11" i="4"/>
  <c r="C10" i="4"/>
  <c r="C6" i="4"/>
  <c r="C17" i="4" a="1"/>
  <c r="C9" i="4" a="1"/>
  <c r="C12" i="4" a="1"/>
  <c r="C13" i="4" a="1"/>
  <c r="C16" i="4" a="1"/>
  <c r="C8" i="4" a="1"/>
  <c r="C7" i="4" a="1"/>
  <c r="C17" i="4" l="1"/>
  <c r="C9" i="4"/>
  <c r="C12" i="4"/>
  <c r="C13" i="4"/>
  <c r="C16" i="4"/>
  <c r="C8" i="4"/>
  <c r="C7" i="4"/>
  <c r="B11" i="11"/>
  <c r="J11" i="11" s="1"/>
  <c r="A11" i="11"/>
  <c r="A12" i="11" s="1"/>
  <c r="A13" i="11" s="1"/>
  <c r="A15" i="11"/>
  <c r="E11" i="11"/>
  <c r="E12" i="11" s="1"/>
  <c r="E16" i="11"/>
  <c r="E17" i="11" s="1"/>
  <c r="E18" i="11" s="1"/>
  <c r="D16" i="11"/>
  <c r="D17" i="11" s="1"/>
  <c r="D18" i="11" s="1"/>
  <c r="J10" i="11"/>
  <c r="D11" i="11"/>
  <c r="D12" i="11" s="1"/>
  <c r="D13" i="11" s="1"/>
  <c r="C5" i="4" a="1"/>
  <c r="B5" i="11"/>
  <c r="C11" i="11"/>
  <c r="C10" i="11"/>
  <c r="F10" i="11" s="1"/>
  <c r="G10" i="11"/>
  <c r="C5" i="4" l="1"/>
  <c r="E13" i="11"/>
  <c r="A17" i="11"/>
  <c r="A16" i="11"/>
  <c r="B12" i="11"/>
  <c r="P11" i="11"/>
  <c r="Q11" i="11" s="1"/>
  <c r="P10" i="11"/>
  <c r="Q10" i="11" s="1"/>
  <c r="B15" i="11"/>
  <c r="L10" i="11"/>
  <c r="K10" i="11"/>
  <c r="I10" i="11"/>
  <c r="I11" i="11"/>
  <c r="H10" i="11"/>
  <c r="F11" i="11"/>
  <c r="C15" i="11"/>
  <c r="F15" i="11"/>
  <c r="G15" i="11" s="1"/>
  <c r="H15" i="11"/>
  <c r="G11" i="11"/>
  <c r="L11" i="11" l="1"/>
  <c r="B16" i="11"/>
  <c r="B13" i="11"/>
  <c r="J12" i="11"/>
  <c r="K11" i="11"/>
  <c r="A18" i="11"/>
  <c r="L15" i="11"/>
  <c r="K15" i="11"/>
  <c r="I15" i="11"/>
  <c r="J16" i="11"/>
  <c r="J15" i="11"/>
  <c r="M10" i="11"/>
  <c r="M11" i="11"/>
  <c r="C12" i="11"/>
  <c r="F12" i="11"/>
  <c r="G12" i="11" s="1"/>
  <c r="H11" i="11"/>
  <c r="B17" i="11" l="1"/>
  <c r="L12" i="11"/>
  <c r="J13" i="11"/>
  <c r="K12" i="11"/>
  <c r="I12" i="11"/>
  <c r="P12" i="11"/>
  <c r="Q12" i="11" s="1"/>
  <c r="M15" i="11"/>
  <c r="N10" i="11" s="1"/>
  <c r="R10" i="11" s="1"/>
  <c r="H12" i="11"/>
  <c r="C16" i="11"/>
  <c r="F16" i="11"/>
  <c r="C13" i="11"/>
  <c r="F13" i="11" s="1"/>
  <c r="G13" i="11" s="1"/>
  <c r="G16" i="11"/>
  <c r="H16" i="11"/>
  <c r="L16" i="11" l="1"/>
  <c r="B18" i="11"/>
  <c r="L13" i="11"/>
  <c r="K16" i="11"/>
  <c r="I16" i="11"/>
  <c r="M16" i="11" s="1"/>
  <c r="N11" i="11" s="1"/>
  <c r="R11" i="11" s="1"/>
  <c r="J17" i="11"/>
  <c r="M12" i="11"/>
  <c r="K13" i="11"/>
  <c r="J18" i="11"/>
  <c r="I13" i="11"/>
  <c r="M13" i="11" s="1"/>
  <c r="P13" i="11"/>
  <c r="Q13" i="11" s="1"/>
  <c r="R4" i="10"/>
  <c r="D4" i="10"/>
  <c r="D5" i="10" s="1"/>
  <c r="D6" i="10" s="1"/>
  <c r="J6" i="10"/>
  <c r="J5" i="10"/>
  <c r="J4" i="10"/>
  <c r="H13" i="11"/>
  <c r="C17" i="11"/>
  <c r="C18" i="11"/>
  <c r="N4" i="10"/>
  <c r="F17" i="11"/>
  <c r="F18" i="11"/>
  <c r="G17" i="11"/>
  <c r="H17" i="11"/>
  <c r="G18" i="11"/>
  <c r="H18" i="11"/>
  <c r="L18" i="11" l="1"/>
  <c r="L17" i="11"/>
  <c r="K18" i="11"/>
  <c r="K17" i="11"/>
  <c r="I18" i="11"/>
  <c r="M18" i="11" s="1"/>
  <c r="N13" i="11" s="1"/>
  <c r="R13" i="11" s="1"/>
  <c r="I17" i="11"/>
  <c r="M17" i="11" s="1"/>
  <c r="N12" i="11" s="1"/>
  <c r="R12" i="11" s="1"/>
  <c r="O4" i="10"/>
  <c r="Q4" i="10"/>
  <c r="S4" i="10" s="1"/>
  <c r="P4" i="10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C6" i="10"/>
  <c r="C5" i="10"/>
  <c r="F5" i="10"/>
  <c r="C4" i="10"/>
  <c r="F4" i="10"/>
  <c r="G4" i="10" s="1"/>
  <c r="F6" i="10"/>
  <c r="I4" i="10" l="1"/>
  <c r="I6" i="10"/>
  <c r="I5" i="10"/>
  <c r="T4" i="10"/>
  <c r="K6" i="10"/>
  <c r="K5" i="10"/>
  <c r="L4" i="10"/>
  <c r="K4" i="10"/>
  <c r="BK27" i="1"/>
  <c r="BL27" i="1" s="1"/>
  <c r="BM27" i="1" s="1"/>
  <c r="BC27" i="1"/>
  <c r="AX27" i="1"/>
  <c r="BD27" i="1" s="1"/>
  <c r="E21" i="1"/>
  <c r="AC21" i="1" s="1"/>
  <c r="AD21" i="1" s="1"/>
  <c r="AB21" i="1"/>
  <c r="D40" i="1"/>
  <c r="D22" i="6"/>
  <c r="C22" i="9"/>
  <c r="A23" i="9"/>
  <c r="C6" i="9"/>
  <c r="B22" i="9" s="1"/>
  <c r="C7" i="9"/>
  <c r="N62" i="9"/>
  <c r="D62" i="9"/>
  <c r="E62" i="9" s="1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12" i="8" s="1"/>
  <c r="C6" i="8"/>
  <c r="D22" i="8"/>
  <c r="E22" i="8"/>
  <c r="C7" i="6"/>
  <c r="C22" i="6"/>
  <c r="A23" i="6"/>
  <c r="A24" i="6" s="1"/>
  <c r="A25" i="6" s="1"/>
  <c r="C6" i="6"/>
  <c r="B22" i="6" s="1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E22" i="6"/>
  <c r="T8" i="9"/>
  <c r="T9" i="9" s="1"/>
  <c r="T10" i="9" s="1"/>
  <c r="T11" i="9" s="1"/>
  <c r="T12" i="9" s="1"/>
  <c r="T13" i="9" s="1"/>
  <c r="T14" i="9" s="1"/>
  <c r="T15" i="9" s="1"/>
  <c r="T16" i="9" s="1"/>
  <c r="T17" i="9" s="1"/>
  <c r="N22" i="9"/>
  <c r="C16" i="9"/>
  <c r="C11" i="9"/>
  <c r="C12" i="9" s="1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W6" i="8"/>
  <c r="V6" i="8"/>
  <c r="V6" i="6"/>
  <c r="N22" i="6"/>
  <c r="T8" i="6"/>
  <c r="T9" i="6" s="1"/>
  <c r="T10" i="6" s="1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B21" i="5"/>
  <c r="C6" i="5"/>
  <c r="B47" i="3"/>
  <c r="B73" i="3" s="1"/>
  <c r="A47" i="3"/>
  <c r="A73" i="3" s="1"/>
  <c r="B22" i="3"/>
  <c r="B23" i="3" s="1"/>
  <c r="B24" i="3" s="1"/>
  <c r="B25" i="3" s="1"/>
  <c r="B26" i="3" s="1"/>
  <c r="A22" i="3"/>
  <c r="A23" i="3" s="1"/>
  <c r="A24" i="3"/>
  <c r="A25" i="3" s="1"/>
  <c r="A51" i="3" s="1"/>
  <c r="B51" i="3"/>
  <c r="B77" i="3" s="1"/>
  <c r="B50" i="3"/>
  <c r="B76" i="3" s="1"/>
  <c r="B102" i="3" s="1"/>
  <c r="B49" i="3"/>
  <c r="B75" i="3" s="1"/>
  <c r="A49" i="3"/>
  <c r="C49" i="3" s="1"/>
  <c r="A75" i="3"/>
  <c r="B48" i="3"/>
  <c r="B74" i="3" s="1"/>
  <c r="A48" i="3"/>
  <c r="A74" i="3"/>
  <c r="A100" i="3" s="1"/>
  <c r="C100" i="3" s="1"/>
  <c r="C48" i="3"/>
  <c r="C47" i="3"/>
  <c r="C24" i="3"/>
  <c r="C23" i="3"/>
  <c r="E23" i="1"/>
  <c r="AC23" i="1" s="1"/>
  <c r="E22" i="1"/>
  <c r="AC22" i="1" s="1"/>
  <c r="A2" i="2"/>
  <c r="A2" i="3" s="1"/>
  <c r="B3" i="3"/>
  <c r="B3" i="2"/>
  <c r="C22" i="3"/>
  <c r="C21" i="3"/>
  <c r="B12" i="3"/>
  <c r="D12" i="1"/>
  <c r="A31" i="2"/>
  <c r="A39" i="2" s="1"/>
  <c r="E20" i="2"/>
  <c r="F20" i="2" s="1"/>
  <c r="D21" i="2"/>
  <c r="B12" i="2"/>
  <c r="M4" i="10" l="1"/>
  <c r="F21" i="2"/>
  <c r="G20" i="2"/>
  <c r="G21" i="2" s="1"/>
  <c r="B27" i="3"/>
  <c r="B52" i="3"/>
  <c r="A77" i="3"/>
  <c r="C51" i="3"/>
  <c r="A26" i="3"/>
  <c r="E21" i="2"/>
  <c r="C74" i="3"/>
  <c r="C25" i="3"/>
  <c r="A126" i="3"/>
  <c r="C126" i="3" s="1"/>
  <c r="A50" i="3"/>
  <c r="C12" i="6"/>
  <c r="AY27" i="1"/>
  <c r="M6" i="10"/>
  <c r="M5" i="10"/>
  <c r="A47" i="2"/>
  <c r="A152" i="3"/>
  <c r="A103" i="3"/>
  <c r="C77" i="3"/>
  <c r="B100" i="3"/>
  <c r="A101" i="3"/>
  <c r="C75" i="3"/>
  <c r="B103" i="3"/>
  <c r="B78" i="3"/>
  <c r="H20" i="2"/>
  <c r="B101" i="3"/>
  <c r="B128" i="3"/>
  <c r="AJ22" i="1"/>
  <c r="AM22" i="1" s="1"/>
  <c r="AD22" i="1"/>
  <c r="A99" i="3"/>
  <c r="C73" i="3"/>
  <c r="AC25" i="8"/>
  <c r="A26" i="8"/>
  <c r="AD23" i="1"/>
  <c r="AJ23" i="1"/>
  <c r="AM23" i="1" s="1"/>
  <c r="B99" i="3"/>
  <c r="B23" i="9"/>
  <c r="A24" i="9"/>
  <c r="AB23" i="1"/>
  <c r="AJ21" i="1"/>
  <c r="AM21" i="1" s="1"/>
  <c r="AB22" i="1"/>
  <c r="AZ27" i="1" l="1"/>
  <c r="BF27" i="1" s="1"/>
  <c r="BE27" i="1"/>
  <c r="A27" i="3"/>
  <c r="A52" i="3"/>
  <c r="C26" i="3"/>
  <c r="B28" i="3"/>
  <c r="B53" i="3"/>
  <c r="B79" i="3" s="1"/>
  <c r="B105" i="3" s="1"/>
  <c r="B131" i="3" s="1"/>
  <c r="B157" i="3" s="1"/>
  <c r="A76" i="3"/>
  <c r="C50" i="3"/>
  <c r="C23" i="9"/>
  <c r="B127" i="3"/>
  <c r="B104" i="3"/>
  <c r="B129" i="3"/>
  <c r="A129" i="3"/>
  <c r="C103" i="3"/>
  <c r="A55" i="2"/>
  <c r="B126" i="3"/>
  <c r="B125" i="3"/>
  <c r="A125" i="3"/>
  <c r="C99" i="3"/>
  <c r="B154" i="3"/>
  <c r="H21" i="2"/>
  <c r="I20" i="2"/>
  <c r="B183" i="3"/>
  <c r="C152" i="3"/>
  <c r="A178" i="3"/>
  <c r="AB24" i="1"/>
  <c r="E24" i="1"/>
  <c r="B24" i="9"/>
  <c r="A25" i="9"/>
  <c r="AC26" i="8"/>
  <c r="A27" i="8"/>
  <c r="A127" i="3"/>
  <c r="C101" i="3"/>
  <c r="G22" i="8"/>
  <c r="K72" i="3"/>
  <c r="H123" i="3"/>
  <c r="I98" i="3"/>
  <c r="H71" i="3"/>
  <c r="H72" i="3"/>
  <c r="K202" i="3"/>
  <c r="L281" i="3"/>
  <c r="M174" i="3"/>
  <c r="M68" i="3"/>
  <c r="F252" i="3"/>
  <c r="M72" i="3"/>
  <c r="H202" i="3"/>
  <c r="I281" i="3"/>
  <c r="J174" i="3"/>
  <c r="K94" i="3"/>
  <c r="L305" i="3"/>
  <c r="L177" i="3"/>
  <c r="L149" i="3"/>
  <c r="M254" i="3"/>
  <c r="D280" i="3"/>
  <c r="F120" i="3"/>
  <c r="G199" i="3"/>
  <c r="G281" i="3"/>
  <c r="F172" i="3"/>
  <c r="G251" i="3"/>
  <c r="H91" i="3"/>
  <c r="I223" i="3"/>
  <c r="J196" i="3"/>
  <c r="K142" i="3"/>
  <c r="L229" i="3"/>
  <c r="G93" i="3"/>
  <c r="F22" i="6"/>
  <c r="G72" i="3"/>
  <c r="L123" i="3"/>
  <c r="M98" i="3"/>
  <c r="D123" i="3"/>
  <c r="I124" i="3"/>
  <c r="F149" i="3"/>
  <c r="G254" i="3"/>
  <c r="H227" i="3"/>
  <c r="I68" i="3"/>
  <c r="J252" i="3"/>
  <c r="D72" i="3"/>
  <c r="L202" i="3"/>
  <c r="M281" i="3"/>
  <c r="D227" i="3"/>
  <c r="L68" i="3"/>
  <c r="G252" i="3"/>
  <c r="K203" i="3"/>
  <c r="G96" i="3"/>
  <c r="H201" i="3"/>
  <c r="I280" i="3"/>
  <c r="J120" i="3"/>
  <c r="K199" i="3"/>
  <c r="D201" i="3"/>
  <c r="J172" i="3"/>
  <c r="K251" i="3"/>
  <c r="L91" i="3"/>
  <c r="M223" i="3"/>
  <c r="D249" i="3"/>
  <c r="F195" i="3"/>
  <c r="J202" i="3"/>
  <c r="D252" i="3"/>
  <c r="J125" i="3"/>
  <c r="K150" i="3"/>
  <c r="G73" i="3"/>
  <c r="M203" i="3"/>
  <c r="M73" i="3"/>
  <c r="D229" i="3"/>
  <c r="F175" i="3"/>
  <c r="K69" i="3"/>
  <c r="H200" i="3"/>
  <c r="I279" i="3"/>
  <c r="J22" i="6"/>
  <c r="J176" i="3"/>
  <c r="L122" i="3"/>
  <c r="M95" i="3"/>
  <c r="D200" i="3"/>
  <c r="F279" i="3"/>
  <c r="I125" i="3"/>
  <c r="F255" i="3"/>
  <c r="G228" i="3"/>
  <c r="H121" i="3"/>
  <c r="I147" i="3"/>
  <c r="J93" i="3"/>
  <c r="G71" i="3"/>
  <c r="D226" i="3"/>
  <c r="J92" i="3"/>
  <c r="K277" i="3"/>
  <c r="L250" i="3"/>
  <c r="D64" i="3"/>
  <c r="D116" i="3"/>
  <c r="F274" i="3"/>
  <c r="J280" i="3"/>
  <c r="F62" i="9"/>
  <c r="L98" i="3"/>
  <c r="D71" i="3"/>
  <c r="D98" i="3"/>
  <c r="L71" i="3"/>
  <c r="K98" i="3"/>
  <c r="G202" i="3"/>
  <c r="H281" i="3"/>
  <c r="I174" i="3"/>
  <c r="J94" i="3"/>
  <c r="K305" i="3"/>
  <c r="F98" i="3"/>
  <c r="M255" i="3"/>
  <c r="D281" i="3"/>
  <c r="F174" i="3"/>
  <c r="G94" i="3"/>
  <c r="H305" i="3"/>
  <c r="M124" i="3"/>
  <c r="H149" i="3"/>
  <c r="I254" i="3"/>
  <c r="J227" i="3"/>
  <c r="G68" i="3"/>
  <c r="L252" i="3"/>
  <c r="I175" i="3"/>
  <c r="H67" i="3"/>
  <c r="L304" i="3"/>
  <c r="M118" i="3"/>
  <c r="D223" i="3"/>
  <c r="F196" i="3"/>
  <c r="G142" i="3"/>
  <c r="J123" i="3"/>
  <c r="I226" i="3"/>
  <c r="C11" i="5"/>
  <c r="D177" i="3"/>
  <c r="G22" i="6"/>
  <c r="G124" i="3"/>
  <c r="H176" i="3"/>
  <c r="F150" i="3"/>
  <c r="I96" i="3"/>
  <c r="J201" i="3"/>
  <c r="K280" i="3"/>
  <c r="L120" i="3"/>
  <c r="M199" i="3"/>
  <c r="J203" i="3"/>
  <c r="F96" i="3"/>
  <c r="G201" i="3"/>
  <c r="H280" i="3"/>
  <c r="I120" i="3"/>
  <c r="J199" i="3"/>
  <c r="J71" i="3"/>
  <c r="H70" i="3"/>
  <c r="K148" i="3"/>
  <c r="L306" i="3"/>
  <c r="M173" i="3"/>
  <c r="M67" i="3"/>
  <c r="H174" i="3"/>
  <c r="M225" i="3"/>
  <c r="M66" i="3"/>
  <c r="F197" i="3"/>
  <c r="G117" i="3"/>
  <c r="H275" i="3"/>
  <c r="I248" i="3"/>
  <c r="M175" i="3"/>
  <c r="G67" i="3"/>
  <c r="G99" i="3"/>
  <c r="I177" i="3"/>
  <c r="Q22" i="8"/>
  <c r="K124" i="3"/>
  <c r="L176" i="3"/>
  <c r="D97" i="3"/>
  <c r="M96" i="3"/>
  <c r="D148" i="3"/>
  <c r="F306" i="3"/>
  <c r="G173" i="3"/>
  <c r="H146" i="3"/>
  <c r="I150" i="3"/>
  <c r="J96" i="3"/>
  <c r="K201" i="3"/>
  <c r="L280" i="3"/>
  <c r="M120" i="3"/>
  <c r="D146" i="3"/>
  <c r="G123" i="3"/>
  <c r="D122" i="3"/>
  <c r="F95" i="3"/>
  <c r="G253" i="3"/>
  <c r="H226" i="3"/>
  <c r="I67" i="3"/>
  <c r="F280" i="3"/>
  <c r="H278" i="3"/>
  <c r="I66" i="3"/>
  <c r="J197" i="3"/>
  <c r="K117" i="3"/>
  <c r="L275" i="3"/>
  <c r="M248" i="3"/>
  <c r="K281" i="3"/>
  <c r="G172" i="3"/>
  <c r="H98" i="3"/>
  <c r="I71" i="3"/>
  <c r="J151" i="3"/>
  <c r="K97" i="3"/>
  <c r="L151" i="3"/>
  <c r="L255" i="3"/>
  <c r="M228" i="3"/>
  <c r="D174" i="3"/>
  <c r="F94" i="3"/>
  <c r="G305" i="3"/>
  <c r="G151" i="3"/>
  <c r="I255" i="3"/>
  <c r="J228" i="3"/>
  <c r="K121" i="3"/>
  <c r="L147" i="3"/>
  <c r="M93" i="3"/>
  <c r="D124" i="3"/>
  <c r="M202" i="3"/>
  <c r="D254" i="3"/>
  <c r="F227" i="3"/>
  <c r="K68" i="3"/>
  <c r="H252" i="3"/>
  <c r="G70" i="3"/>
  <c r="K146" i="3"/>
  <c r="H304" i="3"/>
  <c r="I118" i="3"/>
  <c r="J276" i="3"/>
  <c r="K143" i="3"/>
  <c r="L89" i="3"/>
  <c r="D150" i="3"/>
  <c r="K120" i="3"/>
  <c r="Q22" i="6"/>
  <c r="J124" i="3"/>
  <c r="G62" i="9"/>
  <c r="F72" i="3"/>
  <c r="M123" i="3"/>
  <c r="G203" i="3"/>
  <c r="D96" i="3"/>
  <c r="F201" i="3"/>
  <c r="G280" i="3"/>
  <c r="H120" i="3"/>
  <c r="I199" i="3"/>
  <c r="K177" i="3"/>
  <c r="K149" i="3"/>
  <c r="L254" i="3"/>
  <c r="M227" i="3"/>
  <c r="D120" i="3"/>
  <c r="F199" i="3"/>
  <c r="I97" i="3"/>
  <c r="L70" i="3"/>
  <c r="G148" i="3"/>
  <c r="H306" i="3"/>
  <c r="I173" i="3"/>
  <c r="J146" i="3"/>
  <c r="H69" i="3"/>
  <c r="I225" i="3"/>
  <c r="J198" i="3"/>
  <c r="K144" i="3"/>
  <c r="L170" i="3"/>
  <c r="M249" i="3"/>
  <c r="D248" i="3"/>
  <c r="F122" i="3"/>
  <c r="M146" i="3"/>
  <c r="H73" i="3"/>
  <c r="L203" i="3"/>
  <c r="L99" i="3"/>
  <c r="D203" i="3"/>
  <c r="F22" i="8"/>
  <c r="K123" i="3"/>
  <c r="G122" i="3"/>
  <c r="H95" i="3"/>
  <c r="I253" i="3"/>
  <c r="J226" i="3"/>
  <c r="E40" i="1"/>
  <c r="F123" i="3"/>
  <c r="D70" i="3"/>
  <c r="D95" i="3"/>
  <c r="F253" i="3"/>
  <c r="G226" i="3"/>
  <c r="J99" i="3"/>
  <c r="G229" i="3"/>
  <c r="H175" i="3"/>
  <c r="I69" i="3"/>
  <c r="J200" i="3"/>
  <c r="K279" i="3"/>
  <c r="J98" i="3"/>
  <c r="I94" i="3"/>
  <c r="K119" i="3"/>
  <c r="L224" i="3"/>
  <c r="M303" i="3"/>
  <c r="M64" i="3"/>
  <c r="F169" i="3"/>
  <c r="K63" i="3"/>
  <c r="D121" i="3"/>
  <c r="J225" i="3"/>
  <c r="F125" i="3"/>
  <c r="G150" i="3"/>
  <c r="K73" i="3"/>
  <c r="I203" i="3"/>
  <c r="F99" i="3"/>
  <c r="I176" i="3"/>
  <c r="K122" i="3"/>
  <c r="L95" i="3"/>
  <c r="M253" i="3"/>
  <c r="D279" i="3"/>
  <c r="O40" i="1"/>
  <c r="D176" i="3"/>
  <c r="H122" i="3"/>
  <c r="I95" i="3"/>
  <c r="J253" i="3"/>
  <c r="K226" i="3"/>
  <c r="I73" i="3"/>
  <c r="K229" i="3"/>
  <c r="L175" i="3"/>
  <c r="D69" i="3"/>
  <c r="D147" i="3"/>
  <c r="F93" i="3"/>
  <c r="F203" i="3"/>
  <c r="G120" i="3"/>
  <c r="F92" i="3"/>
  <c r="G277" i="3"/>
  <c r="H250" i="3"/>
  <c r="I64" i="3"/>
  <c r="J169" i="3"/>
  <c r="G63" i="3"/>
  <c r="L174" i="3"/>
  <c r="J22" i="8"/>
  <c r="F124" i="3"/>
  <c r="I16" i="8"/>
  <c r="J72" i="3"/>
  <c r="I123" i="3"/>
  <c r="H177" i="3"/>
  <c r="J149" i="3"/>
  <c r="K254" i="3"/>
  <c r="L227" i="3"/>
  <c r="D68" i="3"/>
  <c r="D199" i="3"/>
  <c r="L124" i="3"/>
  <c r="G149" i="3"/>
  <c r="H254" i="3"/>
  <c r="I227" i="3"/>
  <c r="H68" i="3"/>
  <c r="K252" i="3"/>
  <c r="J150" i="3"/>
  <c r="K96" i="3"/>
  <c r="L201" i="3"/>
  <c r="M280" i="3"/>
  <c r="D173" i="3"/>
  <c r="F146" i="3"/>
  <c r="L148" i="3"/>
  <c r="D225" i="3"/>
  <c r="F198" i="3"/>
  <c r="G144" i="3"/>
  <c r="H170" i="3"/>
  <c r="I249" i="3"/>
  <c r="J195" i="3"/>
  <c r="H96" i="3"/>
  <c r="L199" i="3"/>
  <c r="L73" i="3"/>
  <c r="H203" i="3"/>
  <c r="H99" i="3"/>
  <c r="J177" i="3"/>
  <c r="J62" i="9"/>
  <c r="F71" i="3"/>
  <c r="F70" i="3"/>
  <c r="M148" i="3"/>
  <c r="D253" i="3"/>
  <c r="F226" i="3"/>
  <c r="K67" i="3"/>
  <c r="K71" i="3"/>
  <c r="I70" i="3"/>
  <c r="J148" i="3"/>
  <c r="K306" i="3"/>
  <c r="L173" i="3"/>
  <c r="C8" i="5"/>
  <c r="K176" i="3"/>
  <c r="M122" i="3"/>
  <c r="M69" i="3"/>
  <c r="F200" i="3"/>
  <c r="G279" i="3"/>
  <c r="D99" i="3"/>
  <c r="K200" i="3"/>
  <c r="G119" i="3"/>
  <c r="H224" i="3"/>
  <c r="I303" i="3"/>
  <c r="J302" i="3"/>
  <c r="K222" i="3"/>
  <c r="L301" i="3"/>
  <c r="G95" i="3"/>
  <c r="F225" i="3"/>
  <c r="I151" i="3"/>
  <c r="J97" i="3"/>
  <c r="K125" i="3"/>
  <c r="L150" i="3"/>
  <c r="D125" i="3"/>
  <c r="M229" i="3"/>
  <c r="D228" i="3"/>
  <c r="F121" i="3"/>
  <c r="G147" i="3"/>
  <c r="H93" i="3"/>
  <c r="J73" i="3"/>
  <c r="J229" i="3"/>
  <c r="K175" i="3"/>
  <c r="F69" i="3"/>
  <c r="M200" i="3"/>
  <c r="D93" i="3"/>
  <c r="G98" i="3"/>
  <c r="D202" i="3"/>
  <c r="F281" i="3"/>
  <c r="G174" i="3"/>
  <c r="H94" i="3"/>
  <c r="I305" i="3"/>
  <c r="F202" i="3"/>
  <c r="J305" i="3"/>
  <c r="I145" i="3"/>
  <c r="J171" i="3"/>
  <c r="G65" i="3"/>
  <c r="L90" i="3"/>
  <c r="M116" i="3"/>
  <c r="M99" i="3"/>
  <c r="F147" i="3"/>
  <c r="G5" i="10"/>
  <c r="M151" i="3"/>
  <c r="M71" i="3"/>
  <c r="F151" i="3"/>
  <c r="G97" i="3"/>
  <c r="M125" i="3"/>
  <c r="H255" i="3"/>
  <c r="I228" i="3"/>
  <c r="J121" i="3"/>
  <c r="K147" i="3"/>
  <c r="L93" i="3"/>
  <c r="H125" i="3"/>
  <c r="D255" i="3"/>
  <c r="F228" i="3"/>
  <c r="G121" i="3"/>
  <c r="H147" i="3"/>
  <c r="I93" i="3"/>
  <c r="L72" i="3"/>
  <c r="I202" i="3"/>
  <c r="J281" i="3"/>
  <c r="K174" i="3"/>
  <c r="L94" i="3"/>
  <c r="M305" i="3"/>
  <c r="M149" i="3"/>
  <c r="H199" i="3"/>
  <c r="M145" i="3"/>
  <c r="D118" i="3"/>
  <c r="F276" i="3"/>
  <c r="G143" i="3"/>
  <c r="H89" i="3"/>
  <c r="I72" i="3"/>
  <c r="M94" i="3"/>
  <c r="K99" i="3"/>
  <c r="M177" i="3"/>
  <c r="C12" i="5"/>
  <c r="F177" i="3"/>
  <c r="D28" i="5"/>
  <c r="M97" i="3"/>
  <c r="J70" i="3"/>
  <c r="I148" i="3"/>
  <c r="J306" i="3"/>
  <c r="K173" i="3"/>
  <c r="L146" i="3"/>
  <c r="H97" i="3"/>
  <c r="M70" i="3"/>
  <c r="F148" i="3"/>
  <c r="G306" i="3"/>
  <c r="H173" i="3"/>
  <c r="K40" i="1"/>
  <c r="F176" i="3"/>
  <c r="I122" i="3"/>
  <c r="J95" i="3"/>
  <c r="K253" i="3"/>
  <c r="L226" i="3"/>
  <c r="D67" i="3"/>
  <c r="M306" i="3"/>
  <c r="L278" i="3"/>
  <c r="D66" i="3"/>
  <c r="D303" i="3"/>
  <c r="F302" i="3"/>
  <c r="G222" i="3"/>
  <c r="H301" i="3"/>
  <c r="I201" i="3"/>
  <c r="K172" i="3"/>
  <c r="D151" i="3"/>
  <c r="F97" i="3"/>
  <c r="G125" i="3"/>
  <c r="H150" i="3"/>
  <c r="D73" i="3"/>
  <c r="I229" i="3"/>
  <c r="J175" i="3"/>
  <c r="G69" i="3"/>
  <c r="L200" i="3"/>
  <c r="M279" i="3"/>
  <c r="I99" i="3"/>
  <c r="F229" i="3"/>
  <c r="G175" i="3"/>
  <c r="J69" i="3"/>
  <c r="I200" i="3"/>
  <c r="J279" i="3"/>
  <c r="H151" i="3"/>
  <c r="J255" i="3"/>
  <c r="K228" i="3"/>
  <c r="L121" i="3"/>
  <c r="M147" i="3"/>
  <c r="D305" i="3"/>
  <c r="H229" i="3"/>
  <c r="L279" i="3"/>
  <c r="D145" i="3"/>
  <c r="F171" i="3"/>
  <c r="K65" i="3"/>
  <c r="H90" i="3"/>
  <c r="I116" i="3"/>
  <c r="J274" i="3"/>
  <c r="H253" i="3"/>
  <c r="H119" i="3"/>
  <c r="F145" i="3"/>
  <c r="G171" i="3"/>
  <c r="J65" i="3"/>
  <c r="I90" i="3"/>
  <c r="J116" i="3"/>
  <c r="K274" i="3"/>
  <c r="M201" i="3"/>
  <c r="L172" i="3"/>
  <c r="M251" i="3"/>
  <c r="D144" i="3"/>
  <c r="F170" i="3"/>
  <c r="G249" i="3"/>
  <c r="H195" i="3"/>
  <c r="M252" i="3"/>
  <c r="F143" i="3"/>
  <c r="M88" i="3"/>
  <c r="D167" i="3"/>
  <c r="L61" i="3"/>
  <c r="G192" i="3"/>
  <c r="H112" i="3"/>
  <c r="I270" i="3"/>
  <c r="J190" i="3"/>
  <c r="L97" i="3"/>
  <c r="K250" i="3"/>
  <c r="L168" i="3"/>
  <c r="D62" i="3"/>
  <c r="D246" i="3"/>
  <c r="F86" i="3"/>
  <c r="G218" i="3"/>
  <c r="H297" i="3"/>
  <c r="D175" i="3"/>
  <c r="M276" i="3"/>
  <c r="J145" i="3"/>
  <c r="K171" i="3"/>
  <c r="F65" i="3"/>
  <c r="M90" i="3"/>
  <c r="D89" i="3"/>
  <c r="F221" i="3"/>
  <c r="K95" i="3"/>
  <c r="G225" i="3"/>
  <c r="H198" i="3"/>
  <c r="I144" i="3"/>
  <c r="J170" i="3"/>
  <c r="K249" i="3"/>
  <c r="L195" i="3"/>
  <c r="I172" i="3"/>
  <c r="M196" i="3"/>
  <c r="H141" i="3"/>
  <c r="I167" i="3"/>
  <c r="H61" i="3"/>
  <c r="K192" i="3"/>
  <c r="L112" i="3"/>
  <c r="M270" i="3"/>
  <c r="D243" i="3"/>
  <c r="K70" i="3"/>
  <c r="I276" i="3"/>
  <c r="G115" i="3"/>
  <c r="H273" i="3"/>
  <c r="I246" i="3"/>
  <c r="J86" i="3"/>
  <c r="K218" i="3"/>
  <c r="L297" i="3"/>
  <c r="L69" i="3"/>
  <c r="K170" i="3"/>
  <c r="D304" i="3"/>
  <c r="F118" i="3"/>
  <c r="G276" i="3"/>
  <c r="H143" i="3"/>
  <c r="I89" i="3"/>
  <c r="J221" i="3"/>
  <c r="I121" i="3"/>
  <c r="K225" i="3"/>
  <c r="L198" i="3"/>
  <c r="M144" i="3"/>
  <c r="D117" i="3"/>
  <c r="F275" i="3"/>
  <c r="G248" i="3"/>
  <c r="G278" i="3"/>
  <c r="K275" i="3"/>
  <c r="L141" i="3"/>
  <c r="M167" i="3"/>
  <c r="D272" i="3"/>
  <c r="F245" i="3"/>
  <c r="G85" i="3"/>
  <c r="H217" i="3"/>
  <c r="I243" i="3"/>
  <c r="H148" i="3"/>
  <c r="G170" i="3"/>
  <c r="K115" i="3"/>
  <c r="L273" i="3"/>
  <c r="M246" i="3"/>
  <c r="D139" i="3"/>
  <c r="K92" i="3"/>
  <c r="L277" i="3"/>
  <c r="M250" i="3"/>
  <c r="D90" i="3"/>
  <c r="F116" i="3"/>
  <c r="G274" i="3"/>
  <c r="F254" i="3"/>
  <c r="H172" i="3"/>
  <c r="I251" i="3"/>
  <c r="J91" i="3"/>
  <c r="K223" i="3"/>
  <c r="L196" i="3"/>
  <c r="M142" i="3"/>
  <c r="F68" i="3"/>
  <c r="J64" i="3"/>
  <c r="I88" i="3"/>
  <c r="J220" i="3"/>
  <c r="K299" i="3"/>
  <c r="L139" i="3"/>
  <c r="M165" i="3"/>
  <c r="D270" i="3"/>
  <c r="F190" i="3"/>
  <c r="K57" i="3"/>
  <c r="M197" i="3"/>
  <c r="H168" i="3"/>
  <c r="I62" i="3"/>
  <c r="J193" i="3"/>
  <c r="K113" i="3"/>
  <c r="H271" i="3"/>
  <c r="H58" i="3"/>
  <c r="K301" i="3"/>
  <c r="L247" i="3"/>
  <c r="M87" i="3"/>
  <c r="D166" i="3"/>
  <c r="L60" i="3"/>
  <c r="M304" i="3"/>
  <c r="D91" i="3"/>
  <c r="F223" i="3"/>
  <c r="G196" i="3"/>
  <c r="H142" i="3"/>
  <c r="W40" i="1"/>
  <c r="D306" i="3"/>
  <c r="J278" i="3"/>
  <c r="G66" i="3"/>
  <c r="L197" i="3"/>
  <c r="M117" i="3"/>
  <c r="D222" i="3"/>
  <c r="F301" i="3"/>
  <c r="L145" i="3"/>
  <c r="G89" i="3"/>
  <c r="K194" i="3"/>
  <c r="L114" i="3"/>
  <c r="M272" i="3"/>
  <c r="D298" i="3"/>
  <c r="F138" i="3"/>
  <c r="G164" i="3"/>
  <c r="H296" i="3"/>
  <c r="J173" i="3"/>
  <c r="F64" i="3"/>
  <c r="J88" i="3"/>
  <c r="K220" i="3"/>
  <c r="L299" i="3"/>
  <c r="M139" i="3"/>
  <c r="D112" i="3"/>
  <c r="F270" i="3"/>
  <c r="J67" i="3"/>
  <c r="D196" i="3"/>
  <c r="H251" i="3"/>
  <c r="I91" i="3"/>
  <c r="J223" i="3"/>
  <c r="K196" i="3"/>
  <c r="L142" i="3"/>
  <c r="F73" i="3"/>
  <c r="L253" i="3"/>
  <c r="D119" i="3"/>
  <c r="F224" i="3"/>
  <c r="G303" i="3"/>
  <c r="H302" i="3"/>
  <c r="I222" i="3"/>
  <c r="J301" i="3"/>
  <c r="J251" i="3"/>
  <c r="D195" i="3"/>
  <c r="F247" i="3"/>
  <c r="G87" i="3"/>
  <c r="H219" i="3"/>
  <c r="I298" i="3"/>
  <c r="J138" i="3"/>
  <c r="K164" i="3"/>
  <c r="L296" i="3"/>
  <c r="I146" i="3"/>
  <c r="J143" i="3"/>
  <c r="D141" i="3"/>
  <c r="F167" i="3"/>
  <c r="K61" i="3"/>
  <c r="H192" i="3"/>
  <c r="I112" i="3"/>
  <c r="J270" i="3"/>
  <c r="H225" i="3"/>
  <c r="L249" i="3"/>
  <c r="L251" i="3"/>
  <c r="M91" i="3"/>
  <c r="D170" i="3"/>
  <c r="F249" i="3"/>
  <c r="G195" i="3"/>
  <c r="L125" i="3"/>
  <c r="J147" i="3"/>
  <c r="I119" i="3"/>
  <c r="J224" i="3"/>
  <c r="K303" i="3"/>
  <c r="L302" i="3"/>
  <c r="M222" i="3"/>
  <c r="M63" i="3"/>
  <c r="J66" i="3"/>
  <c r="L248" i="3"/>
  <c r="J247" i="3"/>
  <c r="K87" i="3"/>
  <c r="L219" i="3"/>
  <c r="M298" i="3"/>
  <c r="D191" i="3"/>
  <c r="F111" i="3"/>
  <c r="G269" i="3"/>
  <c r="M172" i="3"/>
  <c r="H249" i="3"/>
  <c r="I141" i="3"/>
  <c r="J167" i="3"/>
  <c r="G61" i="3"/>
  <c r="L192" i="3"/>
  <c r="I304" i="3"/>
  <c r="J118" i="3"/>
  <c r="K276" i="3"/>
  <c r="L143" i="3"/>
  <c r="M89" i="3"/>
  <c r="D168" i="3"/>
  <c r="G227" i="3"/>
  <c r="F278" i="3"/>
  <c r="K66" i="3"/>
  <c r="H197" i="3"/>
  <c r="I117" i="3"/>
  <c r="J275" i="3"/>
  <c r="K248" i="3"/>
  <c r="D92" i="3"/>
  <c r="I169" i="3"/>
  <c r="G194" i="3"/>
  <c r="H114" i="3"/>
  <c r="I272" i="3"/>
  <c r="J245" i="3"/>
  <c r="K85" i="3"/>
  <c r="L217" i="3"/>
  <c r="M243" i="3"/>
  <c r="I306" i="3"/>
  <c r="D302" i="3"/>
  <c r="F88" i="3"/>
  <c r="G220" i="3"/>
  <c r="H299" i="3"/>
  <c r="I139" i="3"/>
  <c r="M112" i="3"/>
  <c r="F119" i="3"/>
  <c r="I168" i="3"/>
  <c r="H62" i="3"/>
  <c r="K198" i="3"/>
  <c r="L144" i="3"/>
  <c r="M170" i="3"/>
  <c r="D275" i="3"/>
  <c r="F248" i="3"/>
  <c r="M150" i="3"/>
  <c r="F173" i="3"/>
  <c r="H92" i="3"/>
  <c r="I277" i="3"/>
  <c r="J250" i="3"/>
  <c r="G64" i="3"/>
  <c r="L169" i="3"/>
  <c r="D63" i="3"/>
  <c r="M171" i="3"/>
  <c r="D221" i="3"/>
  <c r="I300" i="3"/>
  <c r="J140" i="3"/>
  <c r="K166" i="3"/>
  <c r="F60" i="3"/>
  <c r="M191" i="3"/>
  <c r="M58" i="3"/>
  <c r="F216" i="3"/>
  <c r="I92" i="3"/>
  <c r="M169" i="3"/>
  <c r="H194" i="3"/>
  <c r="I114" i="3"/>
  <c r="J272" i="3"/>
  <c r="K245" i="3"/>
  <c r="L85" i="3"/>
  <c r="M217" i="3"/>
  <c r="K304" i="3"/>
  <c r="D278" i="3"/>
  <c r="L66" i="3"/>
  <c r="G197" i="3"/>
  <c r="H117" i="3"/>
  <c r="I275" i="3"/>
  <c r="J248" i="3"/>
  <c r="G176" i="3"/>
  <c r="M226" i="3"/>
  <c r="L92" i="3"/>
  <c r="M277" i="3"/>
  <c r="M65" i="3"/>
  <c r="F90" i="3"/>
  <c r="G116" i="3"/>
  <c r="H274" i="3"/>
  <c r="K91" i="3"/>
  <c r="K221" i="3"/>
  <c r="M300" i="3"/>
  <c r="D193" i="3"/>
  <c r="F113" i="3"/>
  <c r="G271" i="3"/>
  <c r="H244" i="3"/>
  <c r="I58" i="3"/>
  <c r="J216" i="3"/>
  <c r="G304" i="3"/>
  <c r="K89" i="3"/>
  <c r="L194" i="3"/>
  <c r="M114" i="3"/>
  <c r="D219" i="3"/>
  <c r="F298" i="3"/>
  <c r="G138" i="3"/>
  <c r="H164" i="3"/>
  <c r="I198" i="3"/>
  <c r="I278" i="3"/>
  <c r="H66" i="3"/>
  <c r="K197" i="3"/>
  <c r="L117" i="3"/>
  <c r="M275" i="3"/>
  <c r="D301" i="3"/>
  <c r="G255" i="3"/>
  <c r="K93" i="3"/>
  <c r="G145" i="3"/>
  <c r="H171" i="3"/>
  <c r="I65" i="3"/>
  <c r="J90" i="3"/>
  <c r="K116" i="3"/>
  <c r="L274" i="3"/>
  <c r="I197" i="3"/>
  <c r="G168" i="3"/>
  <c r="J62" i="3"/>
  <c r="I193" i="3"/>
  <c r="J113" i="3"/>
  <c r="K271" i="3"/>
  <c r="L244" i="3"/>
  <c r="D58" i="3"/>
  <c r="D163" i="3"/>
  <c r="D198" i="3"/>
  <c r="I195" i="3"/>
  <c r="G247" i="3"/>
  <c r="H87" i="3"/>
  <c r="I219" i="3"/>
  <c r="J298" i="3"/>
  <c r="G198" i="3"/>
  <c r="H144" i="3"/>
  <c r="I170" i="3"/>
  <c r="J249" i="3"/>
  <c r="K195" i="3"/>
  <c r="H124" i="3"/>
  <c r="J68" i="3"/>
  <c r="M119" i="3"/>
  <c r="D277" i="3"/>
  <c r="F250" i="3"/>
  <c r="K64" i="3"/>
  <c r="H169" i="3"/>
  <c r="I63" i="3"/>
  <c r="F277" i="3"/>
  <c r="H63" i="3"/>
  <c r="D300" i="3"/>
  <c r="F140" i="3"/>
  <c r="G166" i="3"/>
  <c r="J60" i="3"/>
  <c r="I191" i="3"/>
  <c r="J111" i="3"/>
  <c r="K269" i="3"/>
  <c r="K278" i="3"/>
  <c r="F222" i="3"/>
  <c r="M141" i="3"/>
  <c r="D114" i="3"/>
  <c r="F272" i="3"/>
  <c r="G245" i="3"/>
  <c r="I244" i="3"/>
  <c r="H303" i="3"/>
  <c r="G88" i="3"/>
  <c r="H220" i="3"/>
  <c r="I224" i="3"/>
  <c r="J303" i="3"/>
  <c r="K302" i="3"/>
  <c r="L222" i="3"/>
  <c r="M301" i="3"/>
  <c r="L96" i="3"/>
  <c r="G146" i="3"/>
  <c r="F304" i="3"/>
  <c r="G118" i="3"/>
  <c r="H276" i="3"/>
  <c r="I143" i="3"/>
  <c r="J89" i="3"/>
  <c r="I149" i="3"/>
  <c r="D276" i="3"/>
  <c r="F115" i="3"/>
  <c r="G273" i="3"/>
  <c r="H246" i="3"/>
  <c r="I86" i="3"/>
  <c r="J218" i="3"/>
  <c r="K297" i="3"/>
  <c r="L84" i="3"/>
  <c r="M163" i="3"/>
  <c r="J277" i="3"/>
  <c r="D274" i="3"/>
  <c r="F300" i="3"/>
  <c r="G140" i="3"/>
  <c r="H166" i="3"/>
  <c r="I60" i="3"/>
  <c r="J191" i="3"/>
  <c r="K111" i="3"/>
  <c r="L118" i="3"/>
  <c r="L119" i="3"/>
  <c r="M224" i="3"/>
  <c r="D250" i="3"/>
  <c r="L64" i="3"/>
  <c r="G169" i="3"/>
  <c r="J63" i="3"/>
  <c r="J122" i="3"/>
  <c r="L67" i="3"/>
  <c r="J304" i="3"/>
  <c r="K118" i="3"/>
  <c r="L276" i="3"/>
  <c r="M143" i="3"/>
  <c r="D142" i="3"/>
  <c r="J254" i="3"/>
  <c r="L223" i="3"/>
  <c r="J115" i="3"/>
  <c r="K273" i="3"/>
  <c r="L246" i="3"/>
  <c r="M86" i="3"/>
  <c r="D165" i="3"/>
  <c r="L59" i="3"/>
  <c r="G137" i="3"/>
  <c r="H110" i="3"/>
  <c r="H118" i="3"/>
  <c r="G221" i="3"/>
  <c r="J300" i="3"/>
  <c r="K140" i="3"/>
  <c r="L166" i="3"/>
  <c r="D60" i="3"/>
  <c r="D244" i="3"/>
  <c r="L58" i="3"/>
  <c r="J144" i="3"/>
  <c r="G92" i="3"/>
  <c r="H277" i="3"/>
  <c r="I250" i="3"/>
  <c r="H64" i="3"/>
  <c r="K169" i="3"/>
  <c r="F63" i="3"/>
  <c r="H228" i="3"/>
  <c r="F67" i="3"/>
  <c r="D251" i="3"/>
  <c r="F91" i="3"/>
  <c r="G223" i="3"/>
  <c r="H196" i="3"/>
  <c r="I142" i="3"/>
  <c r="K227" i="3"/>
  <c r="J117" i="3"/>
  <c r="D88" i="3"/>
  <c r="F220" i="3"/>
  <c r="G299" i="3"/>
  <c r="H139" i="3"/>
  <c r="I165" i="3"/>
  <c r="H59" i="3"/>
  <c r="K137" i="3"/>
  <c r="L110" i="3"/>
  <c r="F144" i="3"/>
  <c r="L221" i="3"/>
  <c r="M62" i="3"/>
  <c r="F193" i="3"/>
  <c r="G113" i="3"/>
  <c r="M278" i="3"/>
  <c r="D224" i="3"/>
  <c r="F303" i="3"/>
  <c r="G302" i="3"/>
  <c r="H222" i="3"/>
  <c r="I301" i="3"/>
  <c r="D149" i="3"/>
  <c r="I252" i="3"/>
  <c r="K145" i="3"/>
  <c r="L171" i="3"/>
  <c r="D65" i="3"/>
  <c r="D143" i="3"/>
  <c r="F89" i="3"/>
  <c r="G177" i="3"/>
  <c r="G250" i="3"/>
  <c r="K168" i="3"/>
  <c r="F62" i="3"/>
  <c r="M193" i="3"/>
  <c r="D86" i="3"/>
  <c r="F218" i="3"/>
  <c r="G297" i="3"/>
  <c r="H84" i="3"/>
  <c r="I163" i="3"/>
  <c r="F66" i="3"/>
  <c r="G301" i="3"/>
  <c r="K247" i="3"/>
  <c r="L87" i="3"/>
  <c r="M219" i="3"/>
  <c r="M60" i="3"/>
  <c r="D217" i="3"/>
  <c r="J222" i="3"/>
  <c r="D194" i="3"/>
  <c r="F114" i="3"/>
  <c r="G272" i="3"/>
  <c r="H245" i="3"/>
  <c r="I85" i="3"/>
  <c r="K193" i="3"/>
  <c r="M271" i="3"/>
  <c r="F59" i="3"/>
  <c r="M137" i="3"/>
  <c r="M57" i="3"/>
  <c r="D215" i="3"/>
  <c r="D241" i="3"/>
  <c r="D55" i="3"/>
  <c r="M107" i="3"/>
  <c r="M54" i="3"/>
  <c r="F238" i="3"/>
  <c r="D94" i="3"/>
  <c r="M302" i="3"/>
  <c r="H88" i="3"/>
  <c r="D245" i="3"/>
  <c r="F269" i="3"/>
  <c r="M268" i="3"/>
  <c r="F267" i="3"/>
  <c r="J293" i="3"/>
  <c r="M292" i="3"/>
  <c r="I185" i="3"/>
  <c r="H184" i="3"/>
  <c r="F104" i="3"/>
  <c r="J262" i="3"/>
  <c r="M288" i="3"/>
  <c r="G128" i="3"/>
  <c r="I154" i="3"/>
  <c r="I286" i="3"/>
  <c r="I38" i="3"/>
  <c r="M113" i="3"/>
  <c r="J243" i="3"/>
  <c r="L271" i="3"/>
  <c r="M176" i="3"/>
  <c r="I274" i="3"/>
  <c r="G300" i="3"/>
  <c r="H140" i="3"/>
  <c r="I166" i="3"/>
  <c r="H60" i="3"/>
  <c r="K191" i="3"/>
  <c r="L111" i="3"/>
  <c r="M269" i="3"/>
  <c r="D242" i="3"/>
  <c r="D56" i="3"/>
  <c r="L214" i="3"/>
  <c r="M240" i="3"/>
  <c r="M186" i="3"/>
  <c r="K212" i="3"/>
  <c r="G211" i="3"/>
  <c r="I171" i="3"/>
  <c r="M274" i="3"/>
  <c r="J87" i="3"/>
  <c r="D111" i="3"/>
  <c r="M136" i="3"/>
  <c r="F135" i="3"/>
  <c r="I134" i="3"/>
  <c r="L80" i="3"/>
  <c r="G79" i="3"/>
  <c r="F105" i="3"/>
  <c r="D263" i="3"/>
  <c r="I236" i="3"/>
  <c r="L129" i="3"/>
  <c r="L208" i="3"/>
  <c r="K49" i="3"/>
  <c r="H127" i="3"/>
  <c r="H153" i="3"/>
  <c r="I220" i="3"/>
  <c r="D59" i="3"/>
  <c r="M83" i="3"/>
  <c r="K59" i="3"/>
  <c r="I302" i="3"/>
  <c r="F141" i="3"/>
  <c r="G167" i="3"/>
  <c r="J61" i="3"/>
  <c r="I192" i="3"/>
  <c r="J112" i="3"/>
  <c r="K270" i="3"/>
  <c r="L190" i="3"/>
  <c r="D57" i="3"/>
  <c r="M215" i="3"/>
  <c r="M241" i="3"/>
  <c r="L134" i="3"/>
  <c r="L213" i="3"/>
  <c r="D54" i="3"/>
  <c r="D291" i="3"/>
  <c r="D172" i="3"/>
  <c r="I196" i="3"/>
  <c r="G141" i="3"/>
  <c r="J271" i="3"/>
  <c r="M216" i="3"/>
  <c r="F162" i="3"/>
  <c r="G214" i="3"/>
  <c r="K266" i="3"/>
  <c r="H159" i="3"/>
  <c r="H53" i="3"/>
  <c r="G290" i="3"/>
  <c r="H77" i="3"/>
  <c r="I209" i="3"/>
  <c r="F50" i="3"/>
  <c r="F181" i="3"/>
  <c r="H101" i="3"/>
  <c r="G111" i="3"/>
  <c r="M195" i="3"/>
  <c r="H247" i="3"/>
  <c r="I87" i="3"/>
  <c r="J219" i="3"/>
  <c r="K298" i="3"/>
  <c r="L138" i="3"/>
  <c r="M164" i="3"/>
  <c r="D269" i="3"/>
  <c r="F189" i="3"/>
  <c r="M56" i="3"/>
  <c r="M267" i="3"/>
  <c r="D240" i="3"/>
  <c r="D186" i="3"/>
  <c r="L265" i="3"/>
  <c r="K53" i="3"/>
  <c r="M198" i="3"/>
  <c r="H248" i="3"/>
  <c r="D220" i="3"/>
  <c r="I59" i="3"/>
  <c r="I299" i="3"/>
  <c r="K165" i="3"/>
  <c r="J217" i="3"/>
  <c r="K243" i="3"/>
  <c r="L83" i="3"/>
  <c r="L162" i="3"/>
  <c r="L294" i="3"/>
  <c r="K187" i="3"/>
  <c r="K160" i="3"/>
  <c r="I159" i="3"/>
  <c r="M291" i="3"/>
  <c r="J119" i="3"/>
  <c r="D169" i="3"/>
  <c r="F194" i="3"/>
  <c r="F85" i="3"/>
  <c r="K110" i="3"/>
  <c r="H109" i="3"/>
  <c r="I161" i="3"/>
  <c r="L107" i="3"/>
  <c r="J265" i="3"/>
  <c r="M211" i="3"/>
  <c r="F237" i="3"/>
  <c r="G130" i="3"/>
  <c r="H156" i="3"/>
  <c r="K76" i="3"/>
  <c r="D234" i="3"/>
  <c r="K47" i="3"/>
  <c r="F259" i="3"/>
  <c r="K23" i="3"/>
  <c r="D218" i="3"/>
  <c r="F163" i="3"/>
  <c r="H85" i="3"/>
  <c r="M92" i="3"/>
  <c r="M168" i="3"/>
  <c r="D273" i="3"/>
  <c r="F246" i="3"/>
  <c r="G86" i="3"/>
  <c r="H218" i="3"/>
  <c r="I297" i="3"/>
  <c r="J84" i="3"/>
  <c r="K163" i="3"/>
  <c r="L295" i="3"/>
  <c r="K135" i="3"/>
  <c r="J108" i="3"/>
  <c r="J266" i="3"/>
  <c r="K133" i="3"/>
  <c r="L79" i="3"/>
  <c r="K255" i="3"/>
  <c r="H65" i="3"/>
  <c r="D115" i="3"/>
  <c r="K219" i="3"/>
  <c r="I190" i="3"/>
  <c r="G295" i="3"/>
  <c r="J241" i="3"/>
  <c r="L81" i="3"/>
  <c r="F133" i="3"/>
  <c r="K238" i="3"/>
  <c r="D131" i="3"/>
  <c r="L210" i="3"/>
  <c r="K51" i="3"/>
  <c r="J235" i="3"/>
  <c r="J102" i="3"/>
  <c r="F207" i="3"/>
  <c r="F233" i="3"/>
  <c r="F39" i="3"/>
  <c r="J299" i="3"/>
  <c r="M84" i="3"/>
  <c r="G242" i="3"/>
  <c r="L164" i="3"/>
  <c r="F142" i="3"/>
  <c r="M194" i="3"/>
  <c r="D87" i="3"/>
  <c r="F219" i="3"/>
  <c r="G298" i="3"/>
  <c r="H138" i="3"/>
  <c r="I164" i="3"/>
  <c r="J296" i="3"/>
  <c r="K136" i="3"/>
  <c r="K109" i="3"/>
  <c r="I267" i="3"/>
  <c r="J81" i="3"/>
  <c r="J80" i="3"/>
  <c r="H265" i="3"/>
  <c r="L185" i="3"/>
  <c r="F251" i="3"/>
  <c r="J142" i="3"/>
  <c r="K62" i="3"/>
  <c r="K244" i="3"/>
  <c r="F83" i="3"/>
  <c r="J56" i="3"/>
  <c r="K108" i="3"/>
  <c r="D160" i="3"/>
  <c r="L212" i="3"/>
  <c r="L264" i="3"/>
  <c r="M52" i="3"/>
  <c r="F183" i="3"/>
  <c r="G103" i="3"/>
  <c r="I261" i="3"/>
  <c r="M234" i="3"/>
  <c r="J165" i="3"/>
  <c r="H279" i="3"/>
  <c r="M221" i="3"/>
  <c r="L62" i="3"/>
  <c r="G193" i="3"/>
  <c r="H113" i="3"/>
  <c r="I271" i="3"/>
  <c r="J244" i="3"/>
  <c r="G58" i="3"/>
  <c r="L216" i="3"/>
  <c r="M242" i="3"/>
  <c r="L82" i="3"/>
  <c r="K161" i="3"/>
  <c r="L293" i="3"/>
  <c r="L239" i="3"/>
  <c r="J106" i="3"/>
  <c r="H16" i="8"/>
  <c r="D197" i="3"/>
  <c r="F168" i="3"/>
  <c r="F299" i="3"/>
  <c r="K84" i="3"/>
  <c r="F242" i="3"/>
  <c r="H188" i="3"/>
  <c r="J187" i="3"/>
  <c r="D239" i="3"/>
  <c r="I132" i="3"/>
  <c r="F78" i="3"/>
  <c r="M263" i="3"/>
  <c r="L113" i="3"/>
  <c r="G191" i="3"/>
  <c r="H111" i="3"/>
  <c r="I269" i="3"/>
  <c r="J189" i="3"/>
  <c r="I56" i="3"/>
  <c r="H214" i="3"/>
  <c r="I240" i="3"/>
  <c r="I186" i="3"/>
  <c r="G212" i="3"/>
  <c r="G53" i="3"/>
  <c r="K224" i="3"/>
  <c r="L63" i="3"/>
  <c r="L167" i="3"/>
  <c r="G217" i="3"/>
  <c r="H136" i="3"/>
  <c r="J82" i="3"/>
  <c r="F55" i="3"/>
  <c r="G80" i="3"/>
  <c r="M106" i="3"/>
  <c r="K158" i="3"/>
  <c r="D52" i="3"/>
  <c r="D236" i="3"/>
  <c r="H129" i="3"/>
  <c r="H208" i="3"/>
  <c r="L287" i="3"/>
  <c r="M74" i="3"/>
  <c r="M206" i="3"/>
  <c r="G62" i="3"/>
  <c r="F297" i="3"/>
  <c r="G83" i="3"/>
  <c r="M244" i="3"/>
  <c r="L65" i="3"/>
  <c r="K88" i="3"/>
  <c r="L220" i="3"/>
  <c r="M299" i="3"/>
  <c r="D192" i="3"/>
  <c r="F112" i="3"/>
  <c r="G270" i="3"/>
  <c r="H190" i="3"/>
  <c r="I57" i="3"/>
  <c r="I215" i="3"/>
  <c r="I241" i="3"/>
  <c r="H134" i="3"/>
  <c r="H213" i="3"/>
  <c r="I54" i="3"/>
  <c r="J238" i="3"/>
  <c r="F305" i="3"/>
  <c r="K90" i="3"/>
  <c r="L88" i="3"/>
  <c r="L298" i="3"/>
  <c r="D216" i="3"/>
  <c r="J215" i="3"/>
  <c r="K267" i="3"/>
  <c r="D266" i="3"/>
  <c r="H54" i="3"/>
  <c r="M53" i="3"/>
  <c r="L184" i="3"/>
  <c r="J104" i="3"/>
  <c r="D209" i="3"/>
  <c r="J50" i="3"/>
  <c r="K128" i="3"/>
  <c r="M154" i="3"/>
  <c r="M286" i="3"/>
  <c r="D38" i="3"/>
  <c r="K139" i="3"/>
  <c r="I296" i="3"/>
  <c r="F165" i="3"/>
  <c r="G200" i="3"/>
  <c r="H221" i="3"/>
  <c r="K300" i="3"/>
  <c r="L140" i="3"/>
  <c r="M166" i="3"/>
  <c r="D271" i="3"/>
  <c r="F244" i="3"/>
  <c r="K58" i="3"/>
  <c r="H216" i="3"/>
  <c r="I242" i="3"/>
  <c r="H82" i="3"/>
  <c r="G161" i="3"/>
  <c r="H293" i="3"/>
  <c r="H239" i="3"/>
  <c r="F106" i="3"/>
  <c r="K211" i="3"/>
  <c r="G91" i="3"/>
  <c r="I221" i="3"/>
  <c r="H193" i="3"/>
  <c r="F58" i="3"/>
  <c r="I189" i="3"/>
  <c r="L135" i="3"/>
  <c r="D187" i="3"/>
  <c r="H186" i="3"/>
  <c r="M79" i="3"/>
  <c r="J105" i="3"/>
  <c r="I263" i="3"/>
  <c r="M236" i="3"/>
  <c r="G182" i="3"/>
  <c r="G155" i="3"/>
  <c r="G49" i="3"/>
  <c r="F191" i="3"/>
  <c r="D171" i="3"/>
  <c r="L115" i="3"/>
  <c r="M273" i="3"/>
  <c r="D299" i="3"/>
  <c r="F139" i="3"/>
  <c r="G165" i="3"/>
  <c r="J59" i="3"/>
  <c r="I137" i="3"/>
  <c r="J110" i="3"/>
  <c r="J268" i="3"/>
  <c r="J188" i="3"/>
  <c r="I55" i="3"/>
  <c r="I107" i="3"/>
  <c r="J292" i="3"/>
  <c r="K132" i="3"/>
  <c r="M121" i="3"/>
  <c r="F117" i="3"/>
  <c r="M115" i="3"/>
  <c r="G139" i="3"/>
  <c r="G296" i="3"/>
  <c r="J139" i="3"/>
  <c r="D297" i="3"/>
  <c r="F84" i="3"/>
  <c r="G163" i="3"/>
  <c r="H295" i="3"/>
  <c r="G135" i="3"/>
  <c r="F108" i="3"/>
  <c r="F266" i="3"/>
  <c r="G133" i="3"/>
  <c r="H79" i="3"/>
  <c r="K151" i="3"/>
  <c r="L303" i="3"/>
  <c r="J168" i="3"/>
  <c r="D61" i="3"/>
  <c r="J137" i="3"/>
  <c r="K242" i="3"/>
  <c r="M188" i="3"/>
  <c r="G81" i="3"/>
  <c r="J239" i="3"/>
  <c r="D238" i="3"/>
  <c r="J78" i="3"/>
  <c r="H210" i="3"/>
  <c r="L289" i="3"/>
  <c r="F235" i="3"/>
  <c r="F102" i="3"/>
  <c r="K260" i="3"/>
  <c r="K180" i="3"/>
  <c r="K100" i="3"/>
  <c r="L193" i="3"/>
  <c r="D84" i="3"/>
  <c r="K189" i="3"/>
  <c r="I217" i="3"/>
  <c r="H116" i="3"/>
  <c r="I194" i="3"/>
  <c r="J114" i="3"/>
  <c r="K272" i="3"/>
  <c r="L245" i="3"/>
  <c r="M85" i="3"/>
  <c r="D164" i="3"/>
  <c r="F296" i="3"/>
  <c r="G136" i="3"/>
  <c r="G109" i="3"/>
  <c r="D267" i="3"/>
  <c r="F81" i="3"/>
  <c r="F80" i="3"/>
  <c r="M159" i="3"/>
  <c r="H185" i="3"/>
  <c r="H145" i="3"/>
  <c r="L116" i="3"/>
  <c r="I247" i="3"/>
  <c r="M138" i="3"/>
  <c r="H57" i="3"/>
  <c r="M109" i="3"/>
  <c r="D108" i="3"/>
  <c r="I213" i="3"/>
  <c r="F212" i="3"/>
  <c r="H264" i="3"/>
  <c r="J237" i="3"/>
  <c r="K130" i="3"/>
  <c r="L156" i="3"/>
  <c r="D261" i="3"/>
  <c r="I234" i="3"/>
  <c r="G47" i="3"/>
  <c r="J259" i="3"/>
  <c r="G23" i="3"/>
  <c r="L165" i="3"/>
  <c r="D110" i="3"/>
  <c r="K138" i="3"/>
  <c r="G224" i="3"/>
  <c r="H115" i="3"/>
  <c r="I273" i="3"/>
  <c r="J246" i="3"/>
  <c r="K86" i="3"/>
  <c r="L218" i="3"/>
  <c r="M297" i="3"/>
  <c r="D137" i="3"/>
  <c r="F110" i="3"/>
  <c r="F268" i="3"/>
  <c r="F188" i="3"/>
  <c r="M55" i="3"/>
  <c r="D107" i="3"/>
  <c r="F292" i="3"/>
  <c r="G132" i="3"/>
  <c r="L228" i="3"/>
  <c r="H223" i="3"/>
  <c r="I115" i="3"/>
  <c r="I113" i="3"/>
  <c r="H243" i="3"/>
  <c r="M295" i="3"/>
  <c r="F294" i="3"/>
  <c r="H240" i="3"/>
  <c r="L133" i="3"/>
  <c r="G291" i="3"/>
  <c r="I131" i="3"/>
  <c r="G157" i="3"/>
  <c r="G51" i="3"/>
  <c r="D288" i="3"/>
  <c r="H75" i="3"/>
  <c r="J207" i="3"/>
  <c r="G59" i="3"/>
  <c r="G90" i="3"/>
  <c r="J141" i="3"/>
  <c r="K167" i="3"/>
  <c r="F61" i="3"/>
  <c r="M192" i="3"/>
  <c r="D85" i="3"/>
  <c r="F217" i="3"/>
  <c r="G243" i="3"/>
  <c r="H83" i="3"/>
  <c r="H162" i="3"/>
  <c r="H294" i="3"/>
  <c r="G187" i="3"/>
  <c r="G160" i="3"/>
  <c r="D159" i="3"/>
  <c r="I291" i="3"/>
  <c r="L225" i="3"/>
  <c r="G275" i="3"/>
  <c r="K141" i="3"/>
  <c r="H165" i="3"/>
  <c r="L163" i="3"/>
  <c r="K162" i="3"/>
  <c r="M214" i="3"/>
  <c r="G107" i="3"/>
  <c r="D265" i="3"/>
  <c r="H211" i="3"/>
  <c r="K290" i="3"/>
  <c r="L77" i="3"/>
  <c r="K83" i="3"/>
  <c r="K55" i="3"/>
  <c r="H106" i="3"/>
  <c r="I52" i="3"/>
  <c r="F262" i="3"/>
  <c r="I288" i="3"/>
  <c r="L75" i="3"/>
  <c r="D154" i="3"/>
  <c r="D206" i="3"/>
  <c r="J85" i="3"/>
  <c r="K215" i="3"/>
  <c r="I214" i="3"/>
  <c r="L266" i="3"/>
  <c r="J159" i="3"/>
  <c r="I211" i="3"/>
  <c r="L290" i="3"/>
  <c r="M77" i="3"/>
  <c r="D156" i="3"/>
  <c r="D50" i="3"/>
  <c r="L128" i="3"/>
  <c r="D101" i="3"/>
  <c r="M48" i="3"/>
  <c r="D24" i="3"/>
  <c r="H300" i="3"/>
  <c r="L191" i="3"/>
  <c r="F57" i="3"/>
  <c r="L56" i="3"/>
  <c r="M108" i="3"/>
  <c r="H160" i="3"/>
  <c r="I212" i="3"/>
  <c r="F264" i="3"/>
  <c r="H237" i="3"/>
  <c r="I130" i="3"/>
  <c r="J156" i="3"/>
  <c r="I76" i="3"/>
  <c r="H181" i="3"/>
  <c r="I74" i="3"/>
  <c r="M247" i="3"/>
  <c r="G57" i="3"/>
  <c r="I188" i="3"/>
  <c r="L187" i="3"/>
  <c r="F239" i="3"/>
  <c r="G238" i="3"/>
  <c r="K78" i="3"/>
  <c r="M210" i="3"/>
  <c r="M289" i="3"/>
  <c r="L182" i="3"/>
  <c r="L155" i="3"/>
  <c r="F49" i="3"/>
  <c r="M127" i="3"/>
  <c r="M153" i="3"/>
  <c r="M179" i="3"/>
  <c r="H86" i="3"/>
  <c r="L243" i="3"/>
  <c r="D268" i="3"/>
  <c r="I294" i="3"/>
  <c r="G293" i="3"/>
  <c r="K292" i="3"/>
  <c r="J291" i="3"/>
  <c r="G131" i="3"/>
  <c r="I157" i="3"/>
  <c r="I51" i="3"/>
  <c r="H235" i="3"/>
  <c r="H102" i="3"/>
  <c r="D260" i="3"/>
  <c r="D180" i="3"/>
  <c r="I100" i="3"/>
  <c r="I232" i="3"/>
  <c r="L127" i="3"/>
  <c r="G114" i="3"/>
  <c r="I136" i="3"/>
  <c r="F241" i="3"/>
  <c r="H81" i="3"/>
  <c r="K239" i="3"/>
  <c r="L238" i="3"/>
  <c r="F131" i="3"/>
  <c r="H157" i="3"/>
  <c r="J51" i="3"/>
  <c r="G235" i="3"/>
  <c r="G102" i="3"/>
  <c r="H260" i="3"/>
  <c r="H180" i="3"/>
  <c r="H100" i="3"/>
  <c r="H232" i="3"/>
  <c r="F192" i="3"/>
  <c r="K296" i="3"/>
  <c r="K268" i="3"/>
  <c r="H267" i="3"/>
  <c r="M293" i="3"/>
  <c r="K54" i="3"/>
  <c r="F185" i="3"/>
  <c r="K131" i="3"/>
  <c r="M157" i="3"/>
  <c r="D51" i="3"/>
  <c r="L235" i="3"/>
  <c r="L102" i="3"/>
  <c r="I260" i="3"/>
  <c r="L24" i="3"/>
  <c r="G216" i="3"/>
  <c r="H135" i="3"/>
  <c r="J134" i="3"/>
  <c r="M80" i="3"/>
  <c r="D132" i="3"/>
  <c r="K105" i="3"/>
  <c r="D210" i="3"/>
  <c r="D289" i="3"/>
  <c r="M129" i="3"/>
  <c r="M208" i="3"/>
  <c r="M287" i="3"/>
  <c r="D127" i="3"/>
  <c r="D153" i="3"/>
  <c r="D179" i="3"/>
  <c r="L272" i="3"/>
  <c r="D190" i="3"/>
  <c r="D295" i="3"/>
  <c r="G241" i="3"/>
  <c r="F240" i="3"/>
  <c r="I133" i="3"/>
  <c r="H238" i="3"/>
  <c r="H78" i="3"/>
  <c r="J210" i="3"/>
  <c r="J289" i="3"/>
  <c r="I182" i="3"/>
  <c r="I155" i="3"/>
  <c r="I49" i="3"/>
  <c r="F127" i="3"/>
  <c r="J153" i="3"/>
  <c r="J179" i="3"/>
  <c r="H268" i="3"/>
  <c r="D293" i="3"/>
  <c r="L291" i="3"/>
  <c r="K157" i="3"/>
  <c r="M209" i="3"/>
  <c r="G76" i="3"/>
  <c r="J181" i="3"/>
  <c r="L101" i="3"/>
  <c r="J39" i="3"/>
  <c r="L137" i="3"/>
  <c r="H56" i="3"/>
  <c r="L108" i="3"/>
  <c r="F160" i="3"/>
  <c r="M212" i="3"/>
  <c r="H158" i="3"/>
  <c r="H52" i="3"/>
  <c r="K183" i="3"/>
  <c r="L103" i="3"/>
  <c r="J261" i="3"/>
  <c r="J234" i="3"/>
  <c r="F47" i="3"/>
  <c r="K259" i="3"/>
  <c r="F23" i="3"/>
  <c r="I140" i="3"/>
  <c r="M111" i="3"/>
  <c r="G189" i="3"/>
  <c r="I135" i="3"/>
  <c r="H187" i="3"/>
  <c r="K186" i="3"/>
  <c r="J79" i="3"/>
  <c r="M158" i="3"/>
  <c r="G263" i="3"/>
  <c r="G236" i="3"/>
  <c r="F129" i="3"/>
  <c r="F208" i="3"/>
  <c r="F287" i="3"/>
  <c r="D286" i="3"/>
  <c r="F166" i="3"/>
  <c r="I295" i="3"/>
  <c r="M294" i="3"/>
  <c r="F293" i="3"/>
  <c r="I292" i="3"/>
  <c r="J185" i="3"/>
  <c r="I184" i="3"/>
  <c r="K104" i="3"/>
  <c r="K262" i="3"/>
  <c r="J288" i="3"/>
  <c r="I75" i="3"/>
  <c r="K207" i="3"/>
  <c r="K233" i="3"/>
  <c r="K39" i="3"/>
  <c r="K285" i="3"/>
  <c r="I218" i="3"/>
  <c r="H163" i="3"/>
  <c r="I162" i="3"/>
  <c r="F161" i="3"/>
  <c r="J107" i="3"/>
  <c r="K159" i="3"/>
  <c r="D53" i="3"/>
  <c r="D290" i="3"/>
  <c r="F77" i="3"/>
  <c r="G209" i="3"/>
  <c r="L50" i="3"/>
  <c r="D128" i="3"/>
  <c r="L207" i="3"/>
  <c r="L233" i="3"/>
  <c r="K38" i="3"/>
  <c r="G40" i="3"/>
  <c r="J48" i="3"/>
  <c r="I245" i="3"/>
  <c r="I268" i="3"/>
  <c r="G267" i="3"/>
  <c r="K293" i="3"/>
  <c r="L54" i="3"/>
  <c r="L53" i="3"/>
  <c r="M184" i="3"/>
  <c r="D77" i="3"/>
  <c r="F209" i="3"/>
  <c r="M50" i="3"/>
  <c r="M75" i="3"/>
  <c r="F154" i="3"/>
  <c r="F286" i="3"/>
  <c r="L38" i="3"/>
  <c r="F40" i="3"/>
  <c r="G112" i="3"/>
  <c r="G110" i="3"/>
  <c r="D109" i="3"/>
  <c r="L161" i="3"/>
  <c r="F213" i="3"/>
  <c r="G265" i="3"/>
  <c r="D211" i="3"/>
  <c r="I290" i="3"/>
  <c r="J77" i="3"/>
  <c r="K209" i="3"/>
  <c r="H50" i="3"/>
  <c r="I128" i="3"/>
  <c r="G180" i="3"/>
  <c r="D140" i="3"/>
  <c r="D189" i="3"/>
  <c r="K241" i="3"/>
  <c r="M81" i="3"/>
  <c r="H133" i="3"/>
  <c r="H291" i="3"/>
  <c r="J131" i="3"/>
  <c r="L157" i="3"/>
  <c r="F51" i="3"/>
  <c r="K235" i="3"/>
  <c r="K102" i="3"/>
  <c r="L260" i="3"/>
  <c r="L180" i="3"/>
  <c r="L100" i="3"/>
  <c r="L232" i="3"/>
  <c r="M245" i="3"/>
  <c r="J269" i="3"/>
  <c r="G215" i="3"/>
  <c r="D214" i="3"/>
  <c r="H266" i="3"/>
  <c r="F54" i="3"/>
  <c r="K185" i="3"/>
  <c r="F184" i="3"/>
  <c r="H104" i="3"/>
  <c r="H262" i="3"/>
  <c r="G288" i="3"/>
  <c r="F75" i="3"/>
  <c r="M260" i="3"/>
  <c r="M180" i="3"/>
  <c r="H39" i="3"/>
  <c r="D82" i="3"/>
  <c r="J160" i="3"/>
  <c r="G158" i="3"/>
  <c r="J183" i="3"/>
  <c r="K103" i="3"/>
  <c r="M261" i="3"/>
  <c r="H287" i="3"/>
  <c r="D74" i="3"/>
  <c r="D126" i="3"/>
  <c r="M110" i="3"/>
  <c r="M135" i="3"/>
  <c r="F187" i="3"/>
  <c r="J186" i="3"/>
  <c r="J132" i="3"/>
  <c r="G78" i="3"/>
  <c r="I210" i="3"/>
  <c r="I289" i="3"/>
  <c r="H182" i="3"/>
  <c r="H155" i="3"/>
  <c r="J49" i="3"/>
  <c r="I127" i="3"/>
  <c r="I153" i="3"/>
  <c r="I179" i="3"/>
  <c r="J166" i="3"/>
  <c r="M190" i="3"/>
  <c r="J295" i="3"/>
  <c r="L241" i="3"/>
  <c r="K240" i="3"/>
  <c r="D292" i="3"/>
  <c r="M238" i="3"/>
  <c r="L78" i="3"/>
  <c r="D157" i="3"/>
  <c r="M51" i="3"/>
  <c r="M182" i="3"/>
  <c r="M155" i="3"/>
  <c r="D49" i="3"/>
  <c r="I206" i="3"/>
  <c r="H191" i="3"/>
  <c r="G162" i="3"/>
  <c r="D161" i="3"/>
  <c r="H107" i="3"/>
  <c r="F265" i="3"/>
  <c r="D264" i="3"/>
  <c r="G237" i="3"/>
  <c r="H130" i="3"/>
  <c r="I156" i="3"/>
  <c r="H76" i="3"/>
  <c r="G181" i="3"/>
  <c r="I101" i="3"/>
  <c r="I48" i="3"/>
  <c r="I24" i="3"/>
  <c r="F273" i="3"/>
  <c r="J297" i="3"/>
  <c r="I83" i="3"/>
  <c r="G56" i="3"/>
  <c r="H55" i="3"/>
  <c r="M160" i="3"/>
  <c r="D106" i="3"/>
  <c r="J264" i="3"/>
  <c r="L237" i="3"/>
  <c r="M130" i="3"/>
  <c r="D103" i="3"/>
  <c r="M76" i="3"/>
  <c r="L181" i="3"/>
  <c r="J101" i="3"/>
  <c r="H48" i="3"/>
  <c r="M23" i="3"/>
  <c r="H258" i="3"/>
  <c r="L153" i="3"/>
  <c r="K217" i="3"/>
  <c r="M162" i="3"/>
  <c r="J161" i="3"/>
  <c r="D213" i="3"/>
  <c r="K265" i="3"/>
  <c r="I264" i="3"/>
  <c r="K237" i="3"/>
  <c r="L130" i="3"/>
  <c r="M156" i="3"/>
  <c r="L76" i="3"/>
  <c r="K181" i="3"/>
  <c r="M101" i="3"/>
  <c r="D48" i="3"/>
  <c r="M24" i="3"/>
  <c r="M220" i="3"/>
  <c r="H270" i="3"/>
  <c r="D136" i="3"/>
  <c r="G82" i="3"/>
  <c r="F134" i="3"/>
  <c r="I80" i="3"/>
  <c r="K106" i="3"/>
  <c r="D158" i="3"/>
  <c r="K52" i="3"/>
  <c r="H183" i="3"/>
  <c r="I103" i="3"/>
  <c r="G261" i="3"/>
  <c r="K294" i="3"/>
  <c r="H292" i="3"/>
  <c r="M131" i="3"/>
  <c r="H289" i="3"/>
  <c r="K182" i="3"/>
  <c r="K155" i="3"/>
  <c r="G260" i="3"/>
  <c r="J233" i="3"/>
  <c r="H272" i="3"/>
  <c r="L242" i="3"/>
  <c r="G294" i="3"/>
  <c r="J240" i="3"/>
  <c r="M133" i="3"/>
  <c r="D185" i="3"/>
  <c r="D184" i="3"/>
  <c r="G104" i="3"/>
  <c r="G262" i="3"/>
  <c r="F288" i="3"/>
  <c r="D75" i="3"/>
  <c r="G207" i="3"/>
  <c r="G233" i="3"/>
  <c r="G39" i="3"/>
  <c r="G285" i="3"/>
  <c r="G60" i="3"/>
  <c r="I216" i="3"/>
  <c r="L215" i="3"/>
  <c r="J214" i="3"/>
  <c r="M266" i="3"/>
  <c r="F159" i="3"/>
  <c r="J53" i="3"/>
  <c r="J184" i="3"/>
  <c r="L104" i="3"/>
  <c r="L262" i="3"/>
  <c r="K288" i="3"/>
  <c r="J75" i="3"/>
  <c r="H207" i="3"/>
  <c r="M38" i="3"/>
  <c r="K190" i="3"/>
  <c r="F82" i="3"/>
  <c r="J55" i="3"/>
  <c r="L160" i="3"/>
  <c r="I106" i="3"/>
  <c r="L158" i="3"/>
  <c r="F263" i="3"/>
  <c r="F236" i="3"/>
  <c r="D129" i="3"/>
  <c r="D208" i="3"/>
  <c r="D287" i="3"/>
  <c r="F74" i="3"/>
  <c r="F206" i="3"/>
  <c r="F126" i="3"/>
  <c r="G246" i="3"/>
  <c r="G84" i="3"/>
  <c r="L189" i="3"/>
  <c r="D188" i="3"/>
  <c r="M187" i="3"/>
  <c r="G239" i="3"/>
  <c r="F132" i="3"/>
  <c r="H105" i="3"/>
  <c r="J208" i="3"/>
  <c r="K126" i="3"/>
  <c r="K82" i="3"/>
  <c r="G105" i="3"/>
  <c r="I208" i="3"/>
  <c r="J126" i="3"/>
  <c r="K188" i="3"/>
  <c r="L105" i="3"/>
  <c r="D155" i="3"/>
  <c r="G100" i="3"/>
  <c r="I109" i="3"/>
  <c r="J213" i="3"/>
  <c r="M264" i="3"/>
  <c r="G183" i="3"/>
  <c r="F261" i="3"/>
  <c r="J47" i="3"/>
  <c r="J23" i="3"/>
  <c r="F164" i="3"/>
  <c r="M82" i="3"/>
  <c r="F186" i="3"/>
  <c r="I158" i="3"/>
  <c r="L183" i="3"/>
  <c r="K261" i="3"/>
  <c r="I47" i="3"/>
  <c r="D23" i="3"/>
  <c r="G154" i="3"/>
  <c r="G38" i="3"/>
  <c r="H26" i="3"/>
  <c r="L188" i="3"/>
  <c r="G184" i="3"/>
  <c r="M102" i="3"/>
  <c r="L179" i="3"/>
  <c r="I35" i="2"/>
  <c r="K36" i="2"/>
  <c r="Q27" i="2"/>
  <c r="K246" i="3"/>
  <c r="K107" i="3"/>
  <c r="L51" i="3"/>
  <c r="I259" i="3"/>
  <c r="M205" i="3"/>
  <c r="R39" i="2"/>
  <c r="R45" i="2"/>
  <c r="Q31" i="2"/>
  <c r="I110" i="3"/>
  <c r="G159" i="3"/>
  <c r="H209" i="3"/>
  <c r="F180" i="3"/>
  <c r="M258" i="3"/>
  <c r="O34" i="2"/>
  <c r="I39" i="2"/>
  <c r="K41" i="2"/>
  <c r="I138" i="3"/>
  <c r="I266" i="3"/>
  <c r="K210" i="3"/>
  <c r="J260" i="3"/>
  <c r="I25" i="3"/>
  <c r="M35" i="2"/>
  <c r="D37" i="2"/>
  <c r="D33" i="2"/>
  <c r="J178" i="3"/>
  <c r="K43" i="3"/>
  <c r="L45" i="3"/>
  <c r="H35" i="3"/>
  <c r="M43" i="3"/>
  <c r="N27" i="2"/>
  <c r="D22" i="3"/>
  <c r="D284" i="3"/>
  <c r="F230" i="3"/>
  <c r="G282" i="3"/>
  <c r="L36" i="3"/>
  <c r="F283" i="3"/>
  <c r="I33" i="2"/>
  <c r="D21" i="3"/>
  <c r="A24" i="2"/>
  <c r="I27" i="3"/>
  <c r="J44" i="3"/>
  <c r="K31" i="3"/>
  <c r="L35" i="3"/>
  <c r="F284" i="3"/>
  <c r="L33" i="3"/>
  <c r="N40" i="1"/>
  <c r="G22" i="1"/>
  <c r="G6" i="10"/>
  <c r="D100" i="3"/>
  <c r="D41" i="3"/>
  <c r="H215" i="3"/>
  <c r="L211" i="3"/>
  <c r="G50" i="3"/>
  <c r="J38" i="3"/>
  <c r="F26" i="3"/>
  <c r="N35" i="2"/>
  <c r="M27" i="2"/>
  <c r="E28" i="2"/>
  <c r="G55" i="3"/>
  <c r="J157" i="3"/>
  <c r="K127" i="3"/>
  <c r="F258" i="3"/>
  <c r="R23" i="2"/>
  <c r="F28" i="2"/>
  <c r="E36" i="2"/>
  <c r="L270" i="3"/>
  <c r="K80" i="3"/>
  <c r="D183" i="3"/>
  <c r="M207" i="3"/>
  <c r="H25" i="3"/>
  <c r="N29" i="2"/>
  <c r="Q45" i="2"/>
  <c r="E34" i="2"/>
  <c r="F87" i="3"/>
  <c r="I108" i="3"/>
  <c r="L131" i="3"/>
  <c r="K75" i="3"/>
  <c r="I285" i="3"/>
  <c r="F37" i="2"/>
  <c r="P39" i="2"/>
  <c r="M22" i="3"/>
  <c r="M21" i="3"/>
  <c r="H204" i="3"/>
  <c r="I256" i="3"/>
  <c r="J33" i="3"/>
  <c r="H27" i="3"/>
  <c r="G39" i="2"/>
  <c r="J29" i="2"/>
  <c r="K178" i="3"/>
  <c r="L43" i="3"/>
  <c r="M45" i="3"/>
  <c r="D35" i="3"/>
  <c r="K257" i="3"/>
  <c r="L27" i="2"/>
  <c r="M33" i="2"/>
  <c r="L37" i="2"/>
  <c r="F42" i="3"/>
  <c r="G283" i="3"/>
  <c r="H46" i="3"/>
  <c r="I37" i="3"/>
  <c r="R27" i="2"/>
  <c r="L282" i="3"/>
  <c r="U40" i="1"/>
  <c r="P23" i="1"/>
  <c r="K23" i="1"/>
  <c r="Q21" i="1"/>
  <c r="G23" i="1"/>
  <c r="O21" i="1"/>
  <c r="I180" i="3"/>
  <c r="M232" i="3"/>
  <c r="G244" i="3"/>
  <c r="I160" i="3"/>
  <c r="F130" i="3"/>
  <c r="H47" i="3"/>
  <c r="D258" i="3"/>
  <c r="K35" i="2"/>
  <c r="L25" i="2"/>
  <c r="G43" i="2"/>
  <c r="J163" i="3"/>
  <c r="G185" i="3"/>
  <c r="L261" i="3"/>
  <c r="G179" i="3"/>
  <c r="F41" i="2"/>
  <c r="P36" i="2"/>
  <c r="A40" i="2"/>
  <c r="I28" i="2"/>
  <c r="J135" i="3"/>
  <c r="I105" i="3"/>
  <c r="G208" i="3"/>
  <c r="G24" i="3"/>
  <c r="I26" i="3"/>
  <c r="N39" i="2"/>
  <c r="M43" i="2"/>
  <c r="Q33" i="2"/>
  <c r="F295" i="3"/>
  <c r="K79" i="3"/>
  <c r="L209" i="3"/>
  <c r="H206" i="3"/>
  <c r="H41" i="3"/>
  <c r="F36" i="2"/>
  <c r="Q36" i="2"/>
  <c r="N28" i="2"/>
  <c r="G42" i="3"/>
  <c r="H283" i="3"/>
  <c r="I46" i="3"/>
  <c r="J22" i="3"/>
  <c r="G46" i="3"/>
  <c r="E42" i="2"/>
  <c r="N25" i="2"/>
  <c r="K27" i="3"/>
  <c r="L44" i="3"/>
  <c r="M31" i="3"/>
  <c r="M23" i="2"/>
  <c r="D32" i="3"/>
  <c r="E27" i="2"/>
  <c r="F31" i="2"/>
  <c r="D178" i="3"/>
  <c r="F43" i="3"/>
  <c r="G45" i="3"/>
  <c r="H34" i="3"/>
  <c r="L29" i="2"/>
  <c r="K230" i="3"/>
  <c r="L40" i="1"/>
  <c r="N22" i="1"/>
  <c r="X23" i="1"/>
  <c r="H233" i="3"/>
  <c r="L285" i="3"/>
  <c r="J58" i="3"/>
  <c r="L186" i="3"/>
  <c r="M183" i="3"/>
  <c r="G127" i="3"/>
  <c r="J258" i="3"/>
  <c r="E44" i="2"/>
  <c r="O41" i="2"/>
  <c r="P29" i="2"/>
  <c r="J83" i="3"/>
  <c r="G264" i="3"/>
  <c r="J155" i="3"/>
  <c r="F232" i="3"/>
  <c r="G36" i="2"/>
  <c r="F26" i="2"/>
  <c r="O43" i="2"/>
  <c r="L45" i="2"/>
  <c r="D294" i="3"/>
  <c r="H131" i="3"/>
  <c r="D102" i="3"/>
  <c r="I126" i="3"/>
  <c r="F35" i="2"/>
  <c r="R25" i="2"/>
  <c r="P28" i="2"/>
  <c r="K28" i="2"/>
  <c r="L268" i="3"/>
  <c r="F291" i="3"/>
  <c r="J103" i="3"/>
  <c r="F100" i="3"/>
  <c r="D26" i="3"/>
  <c r="E45" i="2"/>
  <c r="Q35" i="2"/>
  <c r="H25" i="2"/>
  <c r="K42" i="3"/>
  <c r="L283" i="3"/>
  <c r="M46" i="3"/>
  <c r="K25" i="2"/>
  <c r="J31" i="3"/>
  <c r="O26" i="2"/>
  <c r="K263" i="3"/>
  <c r="J287" i="3"/>
  <c r="F152" i="3"/>
  <c r="D134" i="3"/>
  <c r="J263" i="3"/>
  <c r="I287" i="3"/>
  <c r="M61" i="3"/>
  <c r="I81" i="3"/>
  <c r="F210" i="3"/>
  <c r="G234" i="3"/>
  <c r="K60" i="3"/>
  <c r="L267" i="3"/>
  <c r="G54" i="3"/>
  <c r="H290" i="3"/>
  <c r="J209" i="3"/>
  <c r="H128" i="3"/>
  <c r="J286" i="3"/>
  <c r="J194" i="3"/>
  <c r="L57" i="3"/>
  <c r="H108" i="3"/>
  <c r="M265" i="3"/>
  <c r="M290" i="3"/>
  <c r="F156" i="3"/>
  <c r="M128" i="3"/>
  <c r="K286" i="3"/>
  <c r="H285" i="3"/>
  <c r="K74" i="3"/>
  <c r="F179" i="3"/>
  <c r="D113" i="3"/>
  <c r="L240" i="3"/>
  <c r="F157" i="3"/>
  <c r="D207" i="3"/>
  <c r="D25" i="3"/>
  <c r="K39" i="2"/>
  <c r="O39" i="2"/>
  <c r="D45" i="2"/>
  <c r="I84" i="3"/>
  <c r="D212" i="3"/>
  <c r="H288" i="3"/>
  <c r="H23" i="3"/>
  <c r="G26" i="3"/>
  <c r="I41" i="2"/>
  <c r="L42" i="2"/>
  <c r="K42" i="2"/>
  <c r="J162" i="3"/>
  <c r="M185" i="3"/>
  <c r="L288" i="3"/>
  <c r="K153" i="3"/>
  <c r="G41" i="3"/>
  <c r="R43" i="2"/>
  <c r="I31" i="2"/>
  <c r="H45" i="2"/>
  <c r="J57" i="3"/>
  <c r="L159" i="3"/>
  <c r="G289" i="3"/>
  <c r="J180" i="3"/>
  <c r="G152" i="3"/>
  <c r="N33" i="2"/>
  <c r="C33" i="2"/>
  <c r="L21" i="3"/>
  <c r="H284" i="3"/>
  <c r="I230" i="3"/>
  <c r="J282" i="3"/>
  <c r="Q25" i="2"/>
  <c r="F45" i="3"/>
  <c r="K44" i="2"/>
  <c r="D28" i="2"/>
  <c r="L42" i="3"/>
  <c r="M283" i="3"/>
  <c r="D31" i="3"/>
  <c r="G42" i="2"/>
  <c r="M30" i="3"/>
  <c r="H37" i="2"/>
  <c r="C23" i="2"/>
  <c r="C27" i="2"/>
  <c r="G204" i="3"/>
  <c r="H256" i="3"/>
  <c r="I33" i="3"/>
  <c r="G37" i="3"/>
  <c r="I43" i="3"/>
  <c r="S40" i="1"/>
  <c r="U23" i="1"/>
  <c r="R23" i="1"/>
  <c r="F101" i="3"/>
  <c r="J24" i="3"/>
  <c r="L26" i="3"/>
  <c r="K214" i="3"/>
  <c r="D237" i="3"/>
  <c r="F128" i="3"/>
  <c r="K232" i="3"/>
  <c r="E23" i="2"/>
  <c r="N34" i="2"/>
  <c r="E31" i="2"/>
  <c r="L86" i="3"/>
  <c r="D80" i="3"/>
  <c r="M262" i="3"/>
  <c r="G153" i="3"/>
  <c r="I152" i="3"/>
  <c r="O37" i="2"/>
  <c r="K23" i="2"/>
  <c r="E35" i="2"/>
  <c r="F136" i="3"/>
  <c r="J212" i="3"/>
  <c r="F103" i="3"/>
  <c r="M233" i="3"/>
  <c r="I205" i="3"/>
  <c r="F42" i="2"/>
  <c r="H42" i="2"/>
  <c r="C44" i="2"/>
  <c r="J164" i="3"/>
  <c r="M213" i="3"/>
  <c r="I104" i="3"/>
  <c r="H154" i="3"/>
  <c r="I258" i="3"/>
  <c r="F43" i="2"/>
  <c r="R36" i="2"/>
  <c r="C28" i="2"/>
  <c r="D231" i="3"/>
  <c r="F28" i="3"/>
  <c r="G30" i="3"/>
  <c r="K36" i="3"/>
  <c r="G230" i="3"/>
  <c r="K43" i="2"/>
  <c r="P35" i="2"/>
  <c r="I284" i="3"/>
  <c r="J230" i="3"/>
  <c r="K282" i="3"/>
  <c r="K37" i="3"/>
  <c r="I44" i="3"/>
  <c r="G33" i="2"/>
  <c r="E25" i="2"/>
  <c r="L28" i="2"/>
  <c r="M27" i="3"/>
  <c r="D29" i="3"/>
  <c r="F32" i="3"/>
  <c r="G36" i="3"/>
  <c r="I42" i="3"/>
  <c r="F35" i="3"/>
  <c r="R40" i="1"/>
  <c r="M22" i="1"/>
  <c r="F23" i="1"/>
  <c r="R21" i="1"/>
  <c r="N23" i="1"/>
  <c r="K21" i="1"/>
  <c r="H259" i="3"/>
  <c r="L258" i="3"/>
  <c r="D83" i="3"/>
  <c r="L106" i="3"/>
  <c r="G156" i="3"/>
  <c r="D259" i="3"/>
  <c r="H152" i="3"/>
  <c r="D42" i="2"/>
  <c r="N23" i="2"/>
  <c r="G29" i="2"/>
  <c r="D135" i="3"/>
  <c r="K184" i="3"/>
  <c r="L49" i="3"/>
  <c r="J40" i="3"/>
  <c r="G35" i="2"/>
  <c r="J42" i="2"/>
  <c r="R33" i="2"/>
  <c r="I61" i="3"/>
  <c r="G134" i="3"/>
  <c r="G210" i="3"/>
  <c r="L234" i="3"/>
  <c r="F285" i="3"/>
  <c r="C36" i="2"/>
  <c r="F39" i="2"/>
  <c r="C42" i="2"/>
  <c r="K27" i="2"/>
  <c r="G188" i="3"/>
  <c r="F158" i="3"/>
  <c r="K50" i="3"/>
  <c r="L126" i="3"/>
  <c r="J37" i="2"/>
  <c r="O36" i="2"/>
  <c r="F21" i="3"/>
  <c r="K31" i="2"/>
  <c r="D257" i="3"/>
  <c r="F29" i="3"/>
  <c r="G32" i="3"/>
  <c r="H178" i="3"/>
  <c r="J35" i="3"/>
  <c r="N31" i="2"/>
  <c r="D36" i="2"/>
  <c r="I204" i="3"/>
  <c r="J256" i="3"/>
  <c r="K33" i="3"/>
  <c r="G231" i="3"/>
  <c r="L37" i="3"/>
  <c r="P34" i="2"/>
  <c r="Q23" i="2"/>
  <c r="L231" i="3"/>
  <c r="M28" i="3"/>
  <c r="D282" i="3"/>
  <c r="F36" i="3"/>
  <c r="N37" i="2"/>
  <c r="K256" i="3"/>
  <c r="G40" i="1"/>
  <c r="X22" i="1"/>
  <c r="I21" i="1"/>
  <c r="G206" i="3"/>
  <c r="K205" i="3"/>
  <c r="H189" i="3"/>
  <c r="H132" i="3"/>
  <c r="F182" i="3"/>
  <c r="L206" i="3"/>
  <c r="M152" i="3"/>
  <c r="Q44" i="2"/>
  <c r="M44" i="2"/>
  <c r="D31" i="2"/>
  <c r="H241" i="3"/>
  <c r="I237" i="3"/>
  <c r="I207" i="3"/>
  <c r="G25" i="3"/>
  <c r="K29" i="2"/>
  <c r="G25" i="2"/>
  <c r="P45" i="2"/>
  <c r="J192" i="3"/>
  <c r="K81" i="3"/>
  <c r="D104" i="3"/>
  <c r="H49" i="3"/>
  <c r="D40" i="3"/>
  <c r="F34" i="2"/>
  <c r="D44" i="2"/>
  <c r="L41" i="2"/>
  <c r="R34" i="2"/>
  <c r="J294" i="3"/>
  <c r="M105" i="3"/>
  <c r="K208" i="3"/>
  <c r="K179" i="3"/>
  <c r="D25" i="2"/>
  <c r="F44" i="2"/>
  <c r="G26" i="2"/>
  <c r="I21" i="3"/>
  <c r="I257" i="3"/>
  <c r="J29" i="3"/>
  <c r="K32" i="3"/>
  <c r="K231" i="3"/>
  <c r="H37" i="3"/>
  <c r="J34" i="2"/>
  <c r="L35" i="2"/>
  <c r="M204" i="3"/>
  <c r="D45" i="3"/>
  <c r="F34" i="3"/>
  <c r="J284" i="3"/>
  <c r="P31" i="2"/>
  <c r="G37" i="2"/>
  <c r="R26" i="2"/>
  <c r="G284" i="3"/>
  <c r="H230" i="3"/>
  <c r="I282" i="3"/>
  <c r="J36" i="3"/>
  <c r="D34" i="2"/>
  <c r="D30" i="3"/>
  <c r="K236" i="3"/>
  <c r="G74" i="3"/>
  <c r="H24" i="3"/>
  <c r="H80" i="3"/>
  <c r="J236" i="3"/>
  <c r="J74" i="3"/>
  <c r="F137" i="3"/>
  <c r="M239" i="3"/>
  <c r="F289" i="3"/>
  <c r="M49" i="3"/>
  <c r="I111" i="3"/>
  <c r="G108" i="3"/>
  <c r="H212" i="3"/>
  <c r="L52" i="3"/>
  <c r="H103" i="3"/>
  <c r="F234" i="3"/>
  <c r="G259" i="3"/>
  <c r="K114" i="3"/>
  <c r="J136" i="3"/>
  <c r="K134" i="3"/>
  <c r="D79" i="3"/>
  <c r="G52" i="3"/>
  <c r="M103" i="3"/>
  <c r="K234" i="3"/>
  <c r="L259" i="3"/>
  <c r="F25" i="3"/>
  <c r="G286" i="3"/>
  <c r="K40" i="3"/>
  <c r="F243" i="3"/>
  <c r="G292" i="3"/>
  <c r="K289" i="3"/>
  <c r="D233" i="3"/>
  <c r="F205" i="3"/>
  <c r="I42" i="2"/>
  <c r="I25" i="2"/>
  <c r="E33" i="2"/>
  <c r="M189" i="3"/>
  <c r="D105" i="3"/>
  <c r="J128" i="3"/>
  <c r="D285" i="3"/>
  <c r="K33" i="2"/>
  <c r="J36" i="2"/>
  <c r="N44" i="2"/>
  <c r="C34" i="2"/>
  <c r="J267" i="3"/>
  <c r="F290" i="3"/>
  <c r="G75" i="3"/>
  <c r="H179" i="3"/>
  <c r="O29" i="2"/>
  <c r="R42" i="2"/>
  <c r="G41" i="2"/>
  <c r="D39" i="2"/>
  <c r="F109" i="3"/>
  <c r="I53" i="3"/>
  <c r="K129" i="3"/>
  <c r="M39" i="3"/>
  <c r="J26" i="3"/>
  <c r="H41" i="2"/>
  <c r="I29" i="2"/>
  <c r="I26" i="2"/>
  <c r="F27" i="3"/>
  <c r="G44" i="3"/>
  <c r="H31" i="3"/>
  <c r="F22" i="3"/>
  <c r="M32" i="3"/>
  <c r="R28" i="2"/>
  <c r="I22" i="3"/>
  <c r="J257" i="3"/>
  <c r="K29" i="3"/>
  <c r="L32" i="3"/>
  <c r="H26" i="2"/>
  <c r="K34" i="3"/>
  <c r="C35" i="2"/>
  <c r="O23" i="2"/>
  <c r="M178" i="3"/>
  <c r="D28" i="3"/>
  <c r="F30" i="3"/>
  <c r="G35" i="3"/>
  <c r="L34" i="2"/>
  <c r="M44" i="3"/>
  <c r="T40" i="1"/>
  <c r="S23" i="1"/>
  <c r="S21" i="1"/>
  <c r="J127" i="3"/>
  <c r="D232" i="3"/>
  <c r="F271" i="3"/>
  <c r="F107" i="3"/>
  <c r="M104" i="3"/>
  <c r="L154" i="3"/>
  <c r="K25" i="3"/>
  <c r="R37" i="2"/>
  <c r="J45" i="2"/>
  <c r="L44" i="2"/>
  <c r="D296" i="3"/>
  <c r="M132" i="3"/>
  <c r="F76" i="3"/>
  <c r="H126" i="3"/>
  <c r="M26" i="3"/>
  <c r="F23" i="2"/>
  <c r="L36" i="2"/>
  <c r="G34" i="2"/>
  <c r="K56" i="3"/>
  <c r="K264" i="3"/>
  <c r="J76" i="3"/>
  <c r="I39" i="3"/>
  <c r="L41" i="3"/>
  <c r="Q26" i="2"/>
  <c r="I36" i="2"/>
  <c r="G28" i="2"/>
  <c r="L136" i="3"/>
  <c r="G106" i="3"/>
  <c r="D262" i="3"/>
  <c r="H286" i="3"/>
  <c r="L152" i="3"/>
  <c r="C39" i="2"/>
  <c r="O45" i="2"/>
  <c r="H21" i="3"/>
  <c r="L284" i="3"/>
  <c r="M230" i="3"/>
  <c r="D46" i="3"/>
  <c r="O31" i="2"/>
  <c r="I30" i="3"/>
  <c r="J35" i="2"/>
  <c r="H23" i="2"/>
  <c r="G27" i="3"/>
  <c r="H44" i="3"/>
  <c r="I31" i="3"/>
  <c r="N26" i="2"/>
  <c r="K46" i="3"/>
  <c r="Q29" i="2"/>
  <c r="J33" i="2"/>
  <c r="M25" i="2"/>
  <c r="K204" i="3"/>
  <c r="L256" i="3"/>
  <c r="M33" i="3"/>
  <c r="R31" i="2"/>
  <c r="L28" i="3"/>
  <c r="F40" i="1"/>
  <c r="V23" i="1"/>
  <c r="M23" i="1"/>
  <c r="V22" i="1"/>
  <c r="F21" i="1"/>
  <c r="D22" i="1"/>
  <c r="Y21" i="1"/>
  <c r="M100" i="3"/>
  <c r="I41" i="3"/>
  <c r="L109" i="3"/>
  <c r="J158" i="3"/>
  <c r="H261" i="3"/>
  <c r="L23" i="3"/>
  <c r="K26" i="3"/>
  <c r="D41" i="2"/>
  <c r="M45" i="2"/>
  <c r="F29" i="2"/>
  <c r="D81" i="3"/>
  <c r="J130" i="3"/>
  <c r="I233" i="3"/>
  <c r="K258" i="3"/>
  <c r="K37" i="2"/>
  <c r="J41" i="2"/>
  <c r="H36" i="2"/>
  <c r="H137" i="3"/>
  <c r="D133" i="3"/>
  <c r="L236" i="3"/>
  <c r="K101" i="3"/>
  <c r="M25" i="3"/>
  <c r="R41" i="2"/>
  <c r="H29" i="2"/>
  <c r="H34" i="2"/>
  <c r="G219" i="3"/>
  <c r="M134" i="3"/>
  <c r="J290" i="3"/>
  <c r="I181" i="3"/>
  <c r="H40" i="3"/>
  <c r="R35" i="2"/>
  <c r="O35" i="2"/>
  <c r="D35" i="2"/>
  <c r="J21" i="3"/>
  <c r="L204" i="3"/>
  <c r="M256" i="3"/>
  <c r="D34" i="3"/>
  <c r="G257" i="3"/>
  <c r="P25" i="2"/>
  <c r="F25" i="2"/>
  <c r="F231" i="3"/>
  <c r="G28" i="3"/>
  <c r="H30" i="3"/>
  <c r="I35" i="3"/>
  <c r="D43" i="3"/>
  <c r="J31" i="2"/>
  <c r="P33" i="2"/>
  <c r="L26" i="2"/>
  <c r="J42" i="3"/>
  <c r="K283" i="3"/>
  <c r="L46" i="3"/>
  <c r="M37" i="3"/>
  <c r="P27" i="2"/>
  <c r="F31" i="3"/>
  <c r="Y40" i="1"/>
  <c r="Y22" i="1"/>
  <c r="G21" i="1"/>
  <c r="L39" i="3"/>
  <c r="M41" i="3"/>
  <c r="I82" i="3"/>
  <c r="I78" i="3"/>
  <c r="F155" i="3"/>
  <c r="M126" i="3"/>
  <c r="J39" i="2"/>
  <c r="Q42" i="2"/>
  <c r="P41" i="2"/>
  <c r="J273" i="3"/>
  <c r="I293" i="3"/>
  <c r="H236" i="3"/>
  <c r="K48" i="3"/>
  <c r="H205" i="3"/>
  <c r="I23" i="2"/>
  <c r="F27" i="2"/>
  <c r="M29" i="2"/>
  <c r="M296" i="3"/>
  <c r="J54" i="3"/>
  <c r="H51" i="3"/>
  <c r="H74" i="3"/>
  <c r="G258" i="3"/>
  <c r="D23" i="2"/>
  <c r="N43" i="2"/>
  <c r="P43" i="2"/>
  <c r="H298" i="3"/>
  <c r="G240" i="3"/>
  <c r="J52" i="3"/>
  <c r="G287" i="3"/>
  <c r="M40" i="3"/>
  <c r="F45" i="2"/>
  <c r="Q41" i="2"/>
  <c r="D27" i="2"/>
  <c r="F178" i="3"/>
  <c r="G43" i="3"/>
  <c r="H45" i="3"/>
  <c r="I34" i="3"/>
  <c r="J204" i="3"/>
  <c r="J44" i="2"/>
  <c r="P23" i="2"/>
  <c r="J231" i="3"/>
  <c r="K28" i="3"/>
  <c r="L30" i="3"/>
  <c r="M35" i="3"/>
  <c r="H28" i="3"/>
  <c r="Q28" i="2"/>
  <c r="C31" i="2"/>
  <c r="M42" i="2"/>
  <c r="D27" i="3"/>
  <c r="F44" i="3"/>
  <c r="G31" i="3"/>
  <c r="M34" i="3"/>
  <c r="L178" i="3"/>
  <c r="I32" i="3"/>
  <c r="J129" i="3"/>
  <c r="K206" i="3"/>
  <c r="H269" i="3"/>
  <c r="I79" i="3"/>
  <c r="I129" i="3"/>
  <c r="J206" i="3"/>
  <c r="H242" i="3"/>
  <c r="L132" i="3"/>
  <c r="D182" i="3"/>
  <c r="F48" i="3"/>
  <c r="F215" i="3"/>
  <c r="G266" i="3"/>
  <c r="F53" i="3"/>
  <c r="I77" i="3"/>
  <c r="I50" i="3"/>
  <c r="J154" i="3"/>
  <c r="H38" i="3"/>
  <c r="D138" i="3"/>
  <c r="J109" i="3"/>
  <c r="K213" i="3"/>
  <c r="J211" i="3"/>
  <c r="D130" i="3"/>
  <c r="D76" i="3"/>
  <c r="K154" i="3"/>
  <c r="F24" i="3"/>
  <c r="G205" i="3"/>
  <c r="F153" i="3"/>
  <c r="J152" i="3"/>
  <c r="K295" i="3"/>
  <c r="K291" i="3"/>
  <c r="M235" i="3"/>
  <c r="J100" i="3"/>
  <c r="J41" i="3"/>
  <c r="M37" i="2"/>
  <c r="O44" i="2"/>
  <c r="R29" i="2"/>
  <c r="H161" i="3"/>
  <c r="L263" i="3"/>
  <c r="G101" i="3"/>
  <c r="L25" i="3"/>
  <c r="I44" i="2"/>
  <c r="R44" i="2"/>
  <c r="O28" i="2"/>
  <c r="K112" i="3"/>
  <c r="G213" i="3"/>
  <c r="G77" i="3"/>
  <c r="F260" i="3"/>
  <c r="L40" i="3"/>
  <c r="M28" i="2"/>
  <c r="O42" i="2"/>
  <c r="Q43" i="2"/>
  <c r="D247" i="3"/>
  <c r="F214" i="3"/>
  <c r="D78" i="3"/>
  <c r="I102" i="3"/>
  <c r="J232" i="3"/>
  <c r="M36" i="2"/>
  <c r="M39" i="2"/>
  <c r="N36" i="2"/>
  <c r="G21" i="3"/>
  <c r="M257" i="3"/>
  <c r="D256" i="3"/>
  <c r="F33" i="3"/>
  <c r="D42" i="3"/>
  <c r="D43" i="2"/>
  <c r="L33" i="2"/>
  <c r="G178" i="3"/>
  <c r="H43" i="3"/>
  <c r="I45" i="3"/>
  <c r="J34" i="3"/>
  <c r="M42" i="3"/>
  <c r="M31" i="2"/>
  <c r="E41" i="2"/>
  <c r="C26" i="2"/>
  <c r="K284" i="3"/>
  <c r="L230" i="3"/>
  <c r="M282" i="3"/>
  <c r="D37" i="3"/>
  <c r="L22" i="3"/>
  <c r="H282" i="3"/>
  <c r="Q40" i="1"/>
  <c r="I23" i="1"/>
  <c r="T21" i="1"/>
  <c r="L48" i="3"/>
  <c r="J25" i="3"/>
  <c r="K216" i="3"/>
  <c r="I265" i="3"/>
  <c r="I262" i="3"/>
  <c r="L286" i="3"/>
  <c r="L205" i="3"/>
  <c r="J23" i="2"/>
  <c r="I43" i="2"/>
  <c r="H33" i="2"/>
  <c r="D162" i="3"/>
  <c r="M78" i="3"/>
  <c r="H234" i="3"/>
  <c r="M285" i="3"/>
  <c r="L39" i="2"/>
  <c r="K26" i="2"/>
  <c r="Q39" i="2"/>
  <c r="H167" i="3"/>
  <c r="M161" i="3"/>
  <c r="M237" i="3"/>
  <c r="D181" i="3"/>
  <c r="G232" i="3"/>
  <c r="H31" i="2"/>
  <c r="O25" i="2"/>
  <c r="D26" i="2"/>
  <c r="F33" i="2"/>
  <c r="F56" i="3"/>
  <c r="F211" i="3"/>
  <c r="I235" i="3"/>
  <c r="K24" i="3"/>
  <c r="E37" i="2"/>
  <c r="N41" i="2"/>
  <c r="H28" i="2"/>
  <c r="D29" i="2"/>
  <c r="J27" i="3"/>
  <c r="K44" i="3"/>
  <c r="L31" i="3"/>
  <c r="M41" i="2"/>
  <c r="G34" i="3"/>
  <c r="G22" i="3"/>
  <c r="K22" i="3"/>
  <c r="D204" i="3"/>
  <c r="F256" i="3"/>
  <c r="G33" i="3"/>
  <c r="J27" i="2"/>
  <c r="D36" i="3"/>
  <c r="M34" i="2"/>
  <c r="J28" i="2"/>
  <c r="H231" i="3"/>
  <c r="I28" i="3"/>
  <c r="J30" i="3"/>
  <c r="K35" i="3"/>
  <c r="N45" i="2"/>
  <c r="G256" i="3"/>
  <c r="X40" i="1"/>
  <c r="D23" i="1"/>
  <c r="F22" i="1"/>
  <c r="N21" i="1"/>
  <c r="V21" i="1"/>
  <c r="P22" i="1"/>
  <c r="M47" i="3"/>
  <c r="I23" i="3"/>
  <c r="L300" i="3"/>
  <c r="L55" i="3"/>
  <c r="F52" i="3"/>
  <c r="M181" i="3"/>
  <c r="J285" i="3"/>
  <c r="A32" i="2"/>
  <c r="H43" i="2"/>
  <c r="J43" i="2"/>
  <c r="M218" i="3"/>
  <c r="I239" i="3"/>
  <c r="K156" i="3"/>
  <c r="D39" i="3"/>
  <c r="F41" i="3"/>
  <c r="P37" i="2"/>
  <c r="G45" i="2"/>
  <c r="H35" i="2"/>
  <c r="J242" i="3"/>
  <c r="F79" i="3"/>
  <c r="G129" i="3"/>
  <c r="G48" i="3"/>
  <c r="D152" i="3"/>
  <c r="I37" i="2"/>
  <c r="N42" i="2"/>
  <c r="L43" i="2"/>
  <c r="G190" i="3"/>
  <c r="G186" i="3"/>
  <c r="K77" i="3"/>
  <c r="L47" i="3"/>
  <c r="D205" i="3"/>
  <c r="E39" i="2"/>
  <c r="E29" i="2"/>
  <c r="H22" i="3"/>
  <c r="I231" i="3"/>
  <c r="J28" i="3"/>
  <c r="K30" i="3"/>
  <c r="J37" i="3"/>
  <c r="D44" i="3"/>
  <c r="K45" i="2"/>
  <c r="E26" i="2"/>
  <c r="M284" i="3"/>
  <c r="D283" i="3"/>
  <c r="F46" i="3"/>
  <c r="O33" i="2"/>
  <c r="L29" i="3"/>
  <c r="L31" i="2"/>
  <c r="J26" i="2"/>
  <c r="G31" i="2"/>
  <c r="H257" i="3"/>
  <c r="I29" i="3"/>
  <c r="J32" i="3"/>
  <c r="F37" i="3"/>
  <c r="L27" i="3"/>
  <c r="I36" i="3"/>
  <c r="V40" i="1"/>
  <c r="S22" i="1"/>
  <c r="D47" i="3"/>
  <c r="G126" i="3"/>
  <c r="M140" i="3"/>
  <c r="I187" i="3"/>
  <c r="H263" i="3"/>
  <c r="K287" i="3"/>
  <c r="I40" i="3"/>
  <c r="I34" i="2"/>
  <c r="C41" i="2"/>
  <c r="O27" i="2"/>
  <c r="M59" i="3"/>
  <c r="L292" i="3"/>
  <c r="J182" i="3"/>
  <c r="F38" i="3"/>
  <c r="K41" i="3"/>
  <c r="H27" i="2"/>
  <c r="C43" i="2"/>
  <c r="P44" i="2"/>
  <c r="G268" i="3"/>
  <c r="I238" i="3"/>
  <c r="D235" i="3"/>
  <c r="M259" i="3"/>
  <c r="K152" i="3"/>
  <c r="K34" i="2"/>
  <c r="Q37" i="2"/>
  <c r="Q34" i="2"/>
  <c r="L269" i="3"/>
  <c r="J133" i="3"/>
  <c r="I183" i="3"/>
  <c r="L74" i="3"/>
  <c r="J205" i="3"/>
  <c r="H39" i="2"/>
  <c r="H44" i="2"/>
  <c r="G27" i="2"/>
  <c r="M231" i="3"/>
  <c r="D230" i="3"/>
  <c r="F282" i="3"/>
  <c r="P26" i="2"/>
  <c r="H29" i="3"/>
  <c r="E43" i="2"/>
  <c r="I27" i="2"/>
  <c r="I283" i="3"/>
  <c r="J25" i="2"/>
  <c r="G23" i="2"/>
  <c r="L23" i="2"/>
  <c r="M29" i="3"/>
  <c r="H36" i="3"/>
  <c r="M36" i="3"/>
  <c r="L23" i="1"/>
  <c r="W23" i="1"/>
  <c r="Q23" i="1"/>
  <c r="L21" i="1"/>
  <c r="T23" i="1"/>
  <c r="W21" i="1"/>
  <c r="I47" i="2"/>
  <c r="M47" i="2"/>
  <c r="G49" i="2"/>
  <c r="M51" i="2"/>
  <c r="O52" i="2"/>
  <c r="F51" i="2"/>
  <c r="C51" i="2"/>
  <c r="Q52" i="2"/>
  <c r="P47" i="2"/>
  <c r="J51" i="2"/>
  <c r="P51" i="2"/>
  <c r="R52" i="2"/>
  <c r="F52" i="2"/>
  <c r="H49" i="2"/>
  <c r="D47" i="2"/>
  <c r="L52" i="2"/>
  <c r="K53" i="2"/>
  <c r="Q53" i="2"/>
  <c r="I49" i="2"/>
  <c r="H50" i="2"/>
  <c r="P49" i="2"/>
  <c r="R49" i="2"/>
  <c r="D53" i="2"/>
  <c r="R47" i="2"/>
  <c r="E51" i="2"/>
  <c r="J50" i="2"/>
  <c r="N53" i="2"/>
  <c r="K49" i="2"/>
  <c r="J52" i="2"/>
  <c r="N52" i="2"/>
  <c r="M50" i="2"/>
  <c r="H52" i="2"/>
  <c r="M49" i="2"/>
  <c r="K21" i="3"/>
  <c r="G29" i="3"/>
  <c r="I45" i="2"/>
  <c r="G44" i="2"/>
  <c r="I178" i="3"/>
  <c r="K45" i="3"/>
  <c r="M26" i="2"/>
  <c r="P40" i="1"/>
  <c r="T22" i="1"/>
  <c r="O23" i="1"/>
  <c r="Q22" i="1"/>
  <c r="P21" i="1"/>
  <c r="U22" i="1"/>
  <c r="D21" i="1"/>
  <c r="H53" i="2"/>
  <c r="L51" i="2"/>
  <c r="E52" i="2"/>
  <c r="Q49" i="2"/>
  <c r="Q51" i="2"/>
  <c r="K52" i="2"/>
  <c r="K50" i="2"/>
  <c r="E49" i="2"/>
  <c r="D51" i="2"/>
  <c r="L53" i="2"/>
  <c r="P50" i="2"/>
  <c r="H51" i="2"/>
  <c r="O47" i="2"/>
  <c r="G51" i="2"/>
  <c r="G52" i="2"/>
  <c r="F49" i="2"/>
  <c r="L50" i="2"/>
  <c r="N50" i="2"/>
  <c r="N51" i="2"/>
  <c r="K51" i="2"/>
  <c r="O50" i="2"/>
  <c r="R50" i="2"/>
  <c r="P52" i="2"/>
  <c r="F50" i="2"/>
  <c r="N47" i="2"/>
  <c r="K47" i="2"/>
  <c r="C49" i="2"/>
  <c r="O53" i="2"/>
  <c r="J53" i="2"/>
  <c r="Q50" i="2"/>
  <c r="L47" i="2"/>
  <c r="C47" i="2"/>
  <c r="H42" i="3"/>
  <c r="J46" i="3"/>
  <c r="J45" i="3"/>
  <c r="P42" i="2"/>
  <c r="L257" i="3"/>
  <c r="D33" i="3"/>
  <c r="F204" i="3"/>
  <c r="M40" i="1"/>
  <c r="O22" i="1"/>
  <c r="R22" i="1"/>
  <c r="M21" i="1"/>
  <c r="U21" i="1"/>
  <c r="L22" i="1"/>
  <c r="I52" i="2"/>
  <c r="I50" i="2"/>
  <c r="J47" i="2"/>
  <c r="A48" i="2"/>
  <c r="E53" i="2"/>
  <c r="P53" i="2"/>
  <c r="H47" i="2"/>
  <c r="G50" i="2"/>
  <c r="D50" i="2"/>
  <c r="E47" i="2"/>
  <c r="O51" i="2"/>
  <c r="N49" i="2"/>
  <c r="R53" i="2"/>
  <c r="M52" i="2"/>
  <c r="F257" i="3"/>
  <c r="H32" i="3"/>
  <c r="H33" i="3"/>
  <c r="C25" i="2"/>
  <c r="J43" i="3"/>
  <c r="L34" i="3"/>
  <c r="J283" i="3"/>
  <c r="I40" i="1"/>
  <c r="Y23" i="1"/>
  <c r="K22" i="1"/>
  <c r="X21" i="1"/>
  <c r="W22" i="1"/>
  <c r="I22" i="1"/>
  <c r="R51" i="2"/>
  <c r="L49" i="2"/>
  <c r="C52" i="2"/>
  <c r="J49" i="2"/>
  <c r="G47" i="2"/>
  <c r="G53" i="2"/>
  <c r="O49" i="2"/>
  <c r="F47" i="2"/>
  <c r="I51" i="2"/>
  <c r="E50" i="2"/>
  <c r="D49" i="2"/>
  <c r="Q47" i="2"/>
  <c r="C50" i="2"/>
  <c r="I53" i="2"/>
  <c r="M53" i="2"/>
  <c r="D52" i="2"/>
  <c r="F53" i="2"/>
  <c r="G58" i="2"/>
  <c r="C59" i="2"/>
  <c r="L59" i="2"/>
  <c r="J55" i="2"/>
  <c r="I55" i="2"/>
  <c r="J58" i="2"/>
  <c r="O24" i="1"/>
  <c r="J57" i="2"/>
  <c r="K55" i="2"/>
  <c r="I58" i="2"/>
  <c r="X24" i="1"/>
  <c r="J61" i="2"/>
  <c r="F55" i="2"/>
  <c r="H60" i="2"/>
  <c r="K61" i="2"/>
  <c r="F57" i="2"/>
  <c r="E61" i="2"/>
  <c r="N24" i="1"/>
  <c r="D61" i="2"/>
  <c r="P57" i="2"/>
  <c r="P60" i="2"/>
  <c r="R55" i="2"/>
  <c r="C55" i="2"/>
  <c r="N55" i="2"/>
  <c r="M61" i="2"/>
  <c r="F61" i="2"/>
  <c r="I59" i="2"/>
  <c r="R24" i="1"/>
  <c r="Q24" i="1"/>
  <c r="P58" i="2"/>
  <c r="R61" i="2"/>
  <c r="E58" i="2"/>
  <c r="E55" i="2"/>
  <c r="E60" i="2"/>
  <c r="O60" i="2"/>
  <c r="M58" i="2"/>
  <c r="D24" i="1"/>
  <c r="I60" i="2"/>
  <c r="R60" i="2"/>
  <c r="C60" i="2"/>
  <c r="G59" i="2"/>
  <c r="I17" i="8"/>
  <c r="L55" i="2"/>
  <c r="K60" i="2"/>
  <c r="D60" i="2"/>
  <c r="N60" i="2"/>
  <c r="K58" i="2"/>
  <c r="Q60" i="2"/>
  <c r="H57" i="2"/>
  <c r="S24" i="1"/>
  <c r="M60" i="2"/>
  <c r="K57" i="2"/>
  <c r="D57" i="2"/>
  <c r="W24" i="1"/>
  <c r="N61" i="2"/>
  <c r="L60" i="2"/>
  <c r="H55" i="2"/>
  <c r="D59" i="2"/>
  <c r="P59" i="2"/>
  <c r="I61" i="2"/>
  <c r="G24" i="1"/>
  <c r="T24" i="1"/>
  <c r="O55" i="2"/>
  <c r="D58" i="2"/>
  <c r="N58" i="2"/>
  <c r="I57" i="2"/>
  <c r="E59" i="2"/>
  <c r="Q59" i="2"/>
  <c r="H59" i="2"/>
  <c r="J59" i="2"/>
  <c r="O59" i="2"/>
  <c r="U24" i="1"/>
  <c r="G61" i="2"/>
  <c r="K24" i="1"/>
  <c r="N59" i="2"/>
  <c r="C58" i="2"/>
  <c r="N57" i="2"/>
  <c r="P24" i="1"/>
  <c r="H61" i="2"/>
  <c r="L58" i="2"/>
  <c r="F59" i="2"/>
  <c r="V24" i="1"/>
  <c r="M55" i="2"/>
  <c r="P61" i="2"/>
  <c r="Q61" i="2"/>
  <c r="M57" i="2"/>
  <c r="C57" i="2"/>
  <c r="F60" i="2"/>
  <c r="R57" i="2"/>
  <c r="O61" i="2"/>
  <c r="R59" i="2"/>
  <c r="K59" i="2"/>
  <c r="M24" i="1"/>
  <c r="F24" i="1"/>
  <c r="E57" i="2"/>
  <c r="R58" i="2"/>
  <c r="Q58" i="2"/>
  <c r="H58" i="2"/>
  <c r="A56" i="2"/>
  <c r="O57" i="2"/>
  <c r="O58" i="2"/>
  <c r="G55" i="2"/>
  <c r="Q55" i="2"/>
  <c r="Y24" i="1"/>
  <c r="F58" i="2"/>
  <c r="L57" i="2"/>
  <c r="G60" i="2"/>
  <c r="P55" i="2"/>
  <c r="J60" i="2"/>
  <c r="G57" i="2"/>
  <c r="I24" i="1"/>
  <c r="M59" i="2"/>
  <c r="L61" i="2"/>
  <c r="L24" i="1"/>
  <c r="Q57" i="2"/>
  <c r="D55" i="2"/>
  <c r="F48" i="2" l="1"/>
  <c r="G48" i="2"/>
  <c r="J22" i="1"/>
  <c r="E48" i="2"/>
  <c r="C48" i="2"/>
  <c r="C21" i="1"/>
  <c r="H21" i="1"/>
  <c r="AG21" i="1" s="1"/>
  <c r="AK21" i="1" s="1"/>
  <c r="AN21" i="1" s="1"/>
  <c r="AE21" i="1"/>
  <c r="AF21" i="1" s="1"/>
  <c r="D48" i="2"/>
  <c r="G24" i="2"/>
  <c r="E47" i="3"/>
  <c r="G32" i="2"/>
  <c r="E40" i="2"/>
  <c r="C32" i="2"/>
  <c r="C23" i="1"/>
  <c r="H23" i="1"/>
  <c r="AG23" i="1" s="1"/>
  <c r="AK23" i="1" s="1"/>
  <c r="AN23" i="1" s="1"/>
  <c r="AE23" i="1"/>
  <c r="AF23" i="1" s="1"/>
  <c r="D24" i="2"/>
  <c r="AH21" i="1"/>
  <c r="AL21" i="1" s="1"/>
  <c r="C22" i="1"/>
  <c r="AE22" i="1"/>
  <c r="AF22" i="1" s="1"/>
  <c r="H22" i="1"/>
  <c r="AG22" i="1" s="1"/>
  <c r="AK22" i="1" s="1"/>
  <c r="AN22" i="1" s="1"/>
  <c r="F24" i="2"/>
  <c r="D40" i="2"/>
  <c r="D32" i="2"/>
  <c r="F40" i="2"/>
  <c r="J21" i="1"/>
  <c r="E32" i="2"/>
  <c r="E24" i="2"/>
  <c r="E25" i="3"/>
  <c r="E26" i="3"/>
  <c r="F32" i="2"/>
  <c r="C40" i="2"/>
  <c r="AH23" i="1"/>
  <c r="AL23" i="1" s="1"/>
  <c r="J23" i="1"/>
  <c r="G40" i="2"/>
  <c r="E100" i="3"/>
  <c r="L6" i="10"/>
  <c r="AH22" i="1"/>
  <c r="AL22" i="1" s="1"/>
  <c r="C24" i="2"/>
  <c r="E21" i="3"/>
  <c r="E22" i="3"/>
  <c r="E23" i="3"/>
  <c r="E75" i="3"/>
  <c r="E48" i="3"/>
  <c r="E49" i="3"/>
  <c r="E74" i="3"/>
  <c r="E77" i="3"/>
  <c r="E51" i="3"/>
  <c r="E24" i="3"/>
  <c r="E50" i="3"/>
  <c r="E73" i="3"/>
  <c r="J40" i="1"/>
  <c r="L5" i="10"/>
  <c r="A21" i="5"/>
  <c r="H40" i="1"/>
  <c r="B40" i="1"/>
  <c r="H22" i="8"/>
  <c r="AD22" i="8"/>
  <c r="AE22" i="8"/>
  <c r="C13" i="5"/>
  <c r="C16" i="5" s="1"/>
  <c r="H22" i="6"/>
  <c r="E101" i="3"/>
  <c r="E99" i="3"/>
  <c r="E103" i="3"/>
  <c r="A22" i="5"/>
  <c r="A102" i="3"/>
  <c r="C76" i="3"/>
  <c r="E76" i="3" s="1"/>
  <c r="A78" i="3"/>
  <c r="C52" i="3"/>
  <c r="E52" i="3" s="1"/>
  <c r="A28" i="3"/>
  <c r="C27" i="3"/>
  <c r="E27" i="3" s="1"/>
  <c r="A53" i="3"/>
  <c r="B29" i="3"/>
  <c r="B54" i="3"/>
  <c r="B80" i="3" s="1"/>
  <c r="B106" i="3" s="1"/>
  <c r="AE24" i="1"/>
  <c r="AF24" i="1" s="1"/>
  <c r="C24" i="1"/>
  <c r="AH24" i="1"/>
  <c r="J24" i="1"/>
  <c r="A153" i="3"/>
  <c r="C127" i="3"/>
  <c r="B132" i="3"/>
  <c r="C129" i="3"/>
  <c r="A155" i="3"/>
  <c r="B155" i="3"/>
  <c r="E129" i="3"/>
  <c r="E127" i="3"/>
  <c r="B153" i="3"/>
  <c r="C24" i="9"/>
  <c r="E25" i="1"/>
  <c r="AB25" i="1"/>
  <c r="C125" i="3"/>
  <c r="A151" i="3"/>
  <c r="A28" i="8"/>
  <c r="AC27" i="8"/>
  <c r="B209" i="3"/>
  <c r="J20" i="2"/>
  <c r="I21" i="2"/>
  <c r="B180" i="3"/>
  <c r="AC24" i="1"/>
  <c r="H24" i="1"/>
  <c r="AG24" i="1" s="1"/>
  <c r="AK24" i="1" s="1"/>
  <c r="H24" i="2"/>
  <c r="H40" i="2"/>
  <c r="H32" i="2"/>
  <c r="B152" i="3"/>
  <c r="E126" i="3"/>
  <c r="H48" i="2"/>
  <c r="B130" i="3"/>
  <c r="B25" i="9"/>
  <c r="A26" i="9"/>
  <c r="A204" i="3"/>
  <c r="C178" i="3"/>
  <c r="B151" i="3"/>
  <c r="E125" i="3"/>
  <c r="E56" i="2"/>
  <c r="C56" i="2"/>
  <c r="G56" i="2"/>
  <c r="F56" i="2"/>
  <c r="D56" i="2"/>
  <c r="H56" i="2"/>
  <c r="I56" i="2"/>
  <c r="C53" i="2"/>
  <c r="D25" i="1"/>
  <c r="I25" i="1"/>
  <c r="N25" i="1"/>
  <c r="T25" i="1"/>
  <c r="F25" i="1"/>
  <c r="I22" i="6"/>
  <c r="I22" i="8"/>
  <c r="U25" i="1"/>
  <c r="V25" i="1"/>
  <c r="L25" i="1"/>
  <c r="R25" i="1"/>
  <c r="G25" i="1"/>
  <c r="C61" i="2"/>
  <c r="W25" i="1"/>
  <c r="P25" i="1"/>
  <c r="S25" i="1"/>
  <c r="K25" i="1"/>
  <c r="C37" i="2"/>
  <c r="C45" i="2"/>
  <c r="C29" i="2"/>
  <c r="Q25" i="1"/>
  <c r="Y25" i="1"/>
  <c r="M25" i="1"/>
  <c r="X25" i="1"/>
  <c r="O25" i="1"/>
  <c r="O22" i="8" l="1"/>
  <c r="O20" i="8" s="1"/>
  <c r="L2" i="6" s="1"/>
  <c r="O22" i="6"/>
  <c r="O20" i="6" s="1"/>
  <c r="K22" i="8"/>
  <c r="L22" i="8" s="1"/>
  <c r="M22" i="8" s="1"/>
  <c r="M20" i="8" s="1"/>
  <c r="D20" i="8" s="1"/>
  <c r="U6" i="8" s="1"/>
  <c r="K22" i="6"/>
  <c r="L22" i="6" s="1"/>
  <c r="M22" i="6" s="1"/>
  <c r="M20" i="6" s="1"/>
  <c r="D20" i="6" s="1"/>
  <c r="U6" i="6" s="1"/>
  <c r="B30" i="3"/>
  <c r="B55" i="3"/>
  <c r="B81" i="3" s="1"/>
  <c r="B107" i="3" s="1"/>
  <c r="B133" i="3" s="1"/>
  <c r="B159" i="3" s="1"/>
  <c r="C53" i="3"/>
  <c r="E53" i="3" s="1"/>
  <c r="A79" i="3"/>
  <c r="A104" i="3"/>
  <c r="C78" i="3"/>
  <c r="E78" i="3" s="1"/>
  <c r="C28" i="3"/>
  <c r="E28" i="3" s="1"/>
  <c r="A29" i="3"/>
  <c r="A54" i="3"/>
  <c r="C102" i="3"/>
  <c r="E102" i="3" s="1"/>
  <c r="A128" i="3"/>
  <c r="X6" i="8"/>
  <c r="L2" i="9"/>
  <c r="X6" i="6"/>
  <c r="K2" i="6"/>
  <c r="C25" i="1"/>
  <c r="AE25" i="1"/>
  <c r="AF25" i="1" s="1"/>
  <c r="AH25" i="1"/>
  <c r="J25" i="1"/>
  <c r="AL24" i="1"/>
  <c r="B178" i="3"/>
  <c r="E152" i="3"/>
  <c r="B235" i="3"/>
  <c r="C25" i="9"/>
  <c r="B181" i="3"/>
  <c r="C204" i="3"/>
  <c r="A230" i="3"/>
  <c r="B185" i="3"/>
  <c r="I24" i="2"/>
  <c r="I32" i="2"/>
  <c r="I40" i="2"/>
  <c r="I48" i="2"/>
  <c r="C151" i="3"/>
  <c r="E151" i="3" s="1"/>
  <c r="A177" i="3"/>
  <c r="B179" i="3"/>
  <c r="E153" i="3"/>
  <c r="A181" i="3"/>
  <c r="C155" i="3"/>
  <c r="E155" i="3" s="1"/>
  <c r="C153" i="3"/>
  <c r="A179" i="3"/>
  <c r="A27" i="9"/>
  <c r="B26" i="9"/>
  <c r="B156" i="3"/>
  <c r="AN24" i="1"/>
  <c r="J21" i="2"/>
  <c r="K20" i="2"/>
  <c r="A29" i="8"/>
  <c r="AC28" i="8"/>
  <c r="AC25" i="1"/>
  <c r="H25" i="1"/>
  <c r="AG25" i="1" s="1"/>
  <c r="AK25" i="1" s="1"/>
  <c r="B177" i="3"/>
  <c r="AD24" i="1"/>
  <c r="AJ24" i="1"/>
  <c r="AM24" i="1" s="1"/>
  <c r="B206" i="3"/>
  <c r="E26" i="1"/>
  <c r="AB26" i="1"/>
  <c r="B158" i="3"/>
  <c r="T26" i="1"/>
  <c r="Q26" i="1"/>
  <c r="L26" i="1"/>
  <c r="M26" i="1"/>
  <c r="D26" i="1"/>
  <c r="G26" i="1"/>
  <c r="U26" i="1"/>
  <c r="Y26" i="1"/>
  <c r="R26" i="1"/>
  <c r="X26" i="1"/>
  <c r="I26" i="1"/>
  <c r="P26" i="1"/>
  <c r="O26" i="1"/>
  <c r="N26" i="1"/>
  <c r="V26" i="1"/>
  <c r="F26" i="1"/>
  <c r="W26" i="1"/>
  <c r="S26" i="1"/>
  <c r="K26" i="1"/>
  <c r="C29" i="3" l="1"/>
  <c r="E29" i="3" s="1"/>
  <c r="A30" i="3"/>
  <c r="A55" i="3"/>
  <c r="C79" i="3"/>
  <c r="E79" i="3" s="1"/>
  <c r="A105" i="3"/>
  <c r="C128" i="3"/>
  <c r="E128" i="3" s="1"/>
  <c r="A154" i="3"/>
  <c r="C54" i="3"/>
  <c r="E54" i="3" s="1"/>
  <c r="A80" i="3"/>
  <c r="A130" i="3"/>
  <c r="C104" i="3"/>
  <c r="E104" i="3" s="1"/>
  <c r="B31" i="3"/>
  <c r="B56" i="3"/>
  <c r="B82" i="3" s="1"/>
  <c r="B108" i="3" s="1"/>
  <c r="B134" i="3" s="1"/>
  <c r="B160" i="3" s="1"/>
  <c r="B186" i="3" s="1"/>
  <c r="B212" i="3" s="1"/>
  <c r="B238" i="3" s="1"/>
  <c r="J26" i="1"/>
  <c r="AE26" i="1"/>
  <c r="AF26" i="1" s="1"/>
  <c r="BI26" i="1" s="1"/>
  <c r="BI24" i="1" s="1"/>
  <c r="C26" i="1"/>
  <c r="AH26" i="1"/>
  <c r="AL25" i="1"/>
  <c r="B184" i="3"/>
  <c r="AN25" i="1"/>
  <c r="B182" i="3"/>
  <c r="B211" i="3"/>
  <c r="AC26" i="1"/>
  <c r="H26" i="1"/>
  <c r="AG26" i="1" s="1"/>
  <c r="AK26" i="1" s="1"/>
  <c r="L20" i="2"/>
  <c r="K21" i="2"/>
  <c r="B264" i="3"/>
  <c r="C179" i="3"/>
  <c r="E179" i="3" s="1"/>
  <c r="A205" i="3"/>
  <c r="B205" i="3"/>
  <c r="C26" i="9"/>
  <c r="C181" i="3"/>
  <c r="A207" i="3"/>
  <c r="AJ25" i="1"/>
  <c r="AM25" i="1" s="1"/>
  <c r="AD25" i="1"/>
  <c r="B207" i="3"/>
  <c r="E181" i="3"/>
  <c r="AB27" i="1"/>
  <c r="E27" i="1"/>
  <c r="B232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A256" i="3"/>
  <c r="C230" i="3"/>
  <c r="B261" i="3"/>
  <c r="B204" i="3"/>
  <c r="E178" i="3"/>
  <c r="G27" i="1"/>
  <c r="O27" i="1"/>
  <c r="N27" i="1"/>
  <c r="K27" i="1"/>
  <c r="P27" i="1"/>
  <c r="V27" i="1"/>
  <c r="U27" i="1"/>
  <c r="T27" i="1"/>
  <c r="Q27" i="1"/>
  <c r="R27" i="1"/>
  <c r="Y27" i="1"/>
  <c r="S27" i="1"/>
  <c r="M27" i="1"/>
  <c r="D27" i="1"/>
  <c r="L27" i="1"/>
  <c r="F27" i="1"/>
  <c r="I27" i="1"/>
  <c r="X27" i="1"/>
  <c r="W27" i="1"/>
  <c r="B57" i="3" l="1"/>
  <c r="B83" i="3" s="1"/>
  <c r="B109" i="3" s="1"/>
  <c r="B135" i="3" s="1"/>
  <c r="B161" i="3" s="1"/>
  <c r="B32" i="3"/>
  <c r="A180" i="3"/>
  <c r="C154" i="3"/>
  <c r="E154" i="3" s="1"/>
  <c r="A81" i="3"/>
  <c r="C55" i="3"/>
  <c r="E55" i="3" s="1"/>
  <c r="C130" i="3"/>
  <c r="E130" i="3" s="1"/>
  <c r="A156" i="3"/>
  <c r="A31" i="3"/>
  <c r="A56" i="3"/>
  <c r="C30" i="3"/>
  <c r="E30" i="3" s="1"/>
  <c r="A106" i="3"/>
  <c r="C80" i="3"/>
  <c r="E80" i="3" s="1"/>
  <c r="A131" i="3"/>
  <c r="C105" i="3"/>
  <c r="E105" i="3" s="1"/>
  <c r="AH27" i="1"/>
  <c r="J27" i="1"/>
  <c r="AE27" i="1"/>
  <c r="AF27" i="1" s="1"/>
  <c r="BJ26" i="1" s="1"/>
  <c r="C27" i="1"/>
  <c r="AV26" i="1"/>
  <c r="AV24" i="1" s="1"/>
  <c r="AV22" i="1" s="1"/>
  <c r="AL26" i="1"/>
  <c r="AN26" i="1"/>
  <c r="BB26" i="1"/>
  <c r="B258" i="3"/>
  <c r="A233" i="3"/>
  <c r="C207" i="3"/>
  <c r="B231" i="3"/>
  <c r="B290" i="3"/>
  <c r="AJ26" i="1"/>
  <c r="AM26" i="1" s="1"/>
  <c r="AD26" i="1"/>
  <c r="B208" i="3"/>
  <c r="AC30" i="8"/>
  <c r="A31" i="8"/>
  <c r="B187" i="3"/>
  <c r="B28" i="9"/>
  <c r="A29" i="9"/>
  <c r="AC27" i="1"/>
  <c r="H27" i="1"/>
  <c r="AG27" i="1" s="1"/>
  <c r="AK27" i="1" s="1"/>
  <c r="B233" i="3"/>
  <c r="E207" i="3"/>
  <c r="C27" i="9"/>
  <c r="C28" i="9" s="1"/>
  <c r="A231" i="3"/>
  <c r="C205" i="3"/>
  <c r="E205" i="3" s="1"/>
  <c r="K24" i="2"/>
  <c r="K32" i="2"/>
  <c r="K40" i="2"/>
  <c r="K48" i="2"/>
  <c r="K56" i="2"/>
  <c r="B210" i="3"/>
  <c r="C256" i="3"/>
  <c r="A282" i="3"/>
  <c r="C282" i="3" s="1"/>
  <c r="E204" i="3"/>
  <c r="B230" i="3"/>
  <c r="B287" i="3"/>
  <c r="A229" i="3"/>
  <c r="C203" i="3"/>
  <c r="E203" i="3" s="1"/>
  <c r="B229" i="3"/>
  <c r="AB28" i="1"/>
  <c r="E28" i="1"/>
  <c r="L21" i="2"/>
  <c r="M20" i="2"/>
  <c r="B237" i="3"/>
  <c r="N28" i="1"/>
  <c r="S28" i="1"/>
  <c r="Y28" i="1"/>
  <c r="O28" i="1"/>
  <c r="G28" i="1"/>
  <c r="P28" i="1"/>
  <c r="L28" i="1"/>
  <c r="K28" i="1"/>
  <c r="Q28" i="1"/>
  <c r="R28" i="1"/>
  <c r="X28" i="1"/>
  <c r="U28" i="1"/>
  <c r="W28" i="1"/>
  <c r="T28" i="1"/>
  <c r="V28" i="1"/>
  <c r="F28" i="1"/>
  <c r="M28" i="1"/>
  <c r="D28" i="1"/>
  <c r="I28" i="1"/>
  <c r="A132" i="3" l="1"/>
  <c r="C106" i="3"/>
  <c r="E106" i="3" s="1"/>
  <c r="C156" i="3"/>
  <c r="E156" i="3" s="1"/>
  <c r="A182" i="3"/>
  <c r="C180" i="3"/>
  <c r="E180" i="3" s="1"/>
  <c r="A206" i="3"/>
  <c r="A157" i="3"/>
  <c r="C131" i="3"/>
  <c r="E131" i="3" s="1"/>
  <c r="C56" i="3"/>
  <c r="E56" i="3" s="1"/>
  <c r="A82" i="3"/>
  <c r="B33" i="3"/>
  <c r="B58" i="3"/>
  <c r="B84" i="3" s="1"/>
  <c r="B110" i="3" s="1"/>
  <c r="B136" i="3" s="1"/>
  <c r="B162" i="3" s="1"/>
  <c r="A32" i="3"/>
  <c r="A57" i="3"/>
  <c r="C31" i="3"/>
  <c r="E31" i="3" s="1"/>
  <c r="A107" i="3"/>
  <c r="C81" i="3"/>
  <c r="E81" i="3" s="1"/>
  <c r="C28" i="1"/>
  <c r="AE28" i="1"/>
  <c r="AF28" i="1" s="1"/>
  <c r="BK26" i="1" s="1"/>
  <c r="AH28" i="1"/>
  <c r="J28" i="1"/>
  <c r="BJ24" i="1"/>
  <c r="BJ29" i="1"/>
  <c r="AL27" i="1"/>
  <c r="AW26" i="1"/>
  <c r="AN27" i="1"/>
  <c r="BC26" i="1"/>
  <c r="BC24" i="1" s="1"/>
  <c r="M21" i="2"/>
  <c r="N20" i="2"/>
  <c r="BB24" i="1"/>
  <c r="BB22" i="1" s="1"/>
  <c r="B255" i="3"/>
  <c r="C229" i="3"/>
  <c r="E229" i="3" s="1"/>
  <c r="A255" i="3"/>
  <c r="B236" i="3"/>
  <c r="B259" i="3"/>
  <c r="A32" i="8"/>
  <c r="AC31" i="8"/>
  <c r="B284" i="3"/>
  <c r="AC28" i="1"/>
  <c r="H28" i="1"/>
  <c r="AG28" i="1" s="1"/>
  <c r="AK28" i="1" s="1"/>
  <c r="L24" i="2"/>
  <c r="L32" i="2"/>
  <c r="L40" i="2"/>
  <c r="L48" i="2"/>
  <c r="L56" i="2"/>
  <c r="E29" i="1"/>
  <c r="AB29" i="1"/>
  <c r="E230" i="3"/>
  <c r="B256" i="3"/>
  <c r="B29" i="9"/>
  <c r="A30" i="9"/>
  <c r="B263" i="3"/>
  <c r="A257" i="3"/>
  <c r="C231" i="3"/>
  <c r="B234" i="3"/>
  <c r="C29" i="9"/>
  <c r="AD27" i="1"/>
  <c r="AJ27" i="1"/>
  <c r="AM27" i="1" s="1"/>
  <c r="B213" i="3"/>
  <c r="B257" i="3"/>
  <c r="E231" i="3"/>
  <c r="A259" i="3"/>
  <c r="C233" i="3"/>
  <c r="E233" i="3" s="1"/>
  <c r="B188" i="3"/>
  <c r="M29" i="1"/>
  <c r="R29" i="1"/>
  <c r="W29" i="1"/>
  <c r="K29" i="1"/>
  <c r="N29" i="1"/>
  <c r="T29" i="1"/>
  <c r="D29" i="1"/>
  <c r="X29" i="1"/>
  <c r="V29" i="1"/>
  <c r="O29" i="1"/>
  <c r="F29" i="1"/>
  <c r="L29" i="1"/>
  <c r="Y29" i="1"/>
  <c r="S29" i="1"/>
  <c r="P29" i="1"/>
  <c r="Q29" i="1"/>
  <c r="U29" i="1"/>
  <c r="G29" i="1"/>
  <c r="I29" i="1"/>
  <c r="C107" i="3" l="1"/>
  <c r="E107" i="3" s="1"/>
  <c r="A133" i="3"/>
  <c r="A208" i="3"/>
  <c r="C182" i="3"/>
  <c r="E182" i="3" s="1"/>
  <c r="BC22" i="1"/>
  <c r="B34" i="3"/>
  <c r="B59" i="3"/>
  <c r="B85" i="3" s="1"/>
  <c r="B111" i="3" s="1"/>
  <c r="B137" i="3" s="1"/>
  <c r="B163" i="3" s="1"/>
  <c r="A183" i="3"/>
  <c r="C157" i="3"/>
  <c r="E157" i="3" s="1"/>
  <c r="C57" i="3"/>
  <c r="E57" i="3" s="1"/>
  <c r="A83" i="3"/>
  <c r="A108" i="3"/>
  <c r="C82" i="3"/>
  <c r="E82" i="3" s="1"/>
  <c r="A232" i="3"/>
  <c r="C206" i="3"/>
  <c r="E206" i="3" s="1"/>
  <c r="C32" i="3"/>
  <c r="E32" i="3" s="1"/>
  <c r="A33" i="3"/>
  <c r="A58" i="3"/>
  <c r="A158" i="3"/>
  <c r="C132" i="3"/>
  <c r="E132" i="3" s="1"/>
  <c r="AE29" i="1"/>
  <c r="AF29" i="1" s="1"/>
  <c r="BL26" i="1" s="1"/>
  <c r="C29" i="1"/>
  <c r="AH29" i="1"/>
  <c r="J29" i="1"/>
  <c r="AW24" i="1"/>
  <c r="AW22" i="1" s="1"/>
  <c r="AW29" i="1"/>
  <c r="AL28" i="1"/>
  <c r="AX26" i="1"/>
  <c r="BK24" i="1"/>
  <c r="BK29" i="1"/>
  <c r="BC29" i="1"/>
  <c r="AN28" i="1"/>
  <c r="BD26" i="1"/>
  <c r="B283" i="3"/>
  <c r="A31" i="9"/>
  <c r="B30" i="9"/>
  <c r="B214" i="3"/>
  <c r="A285" i="3"/>
  <c r="C285" i="3" s="1"/>
  <c r="C259" i="3"/>
  <c r="E259" i="3" s="1"/>
  <c r="B282" i="3"/>
  <c r="E282" i="3" s="1"/>
  <c r="E256" i="3"/>
  <c r="E30" i="1"/>
  <c r="AB30" i="1"/>
  <c r="B260" i="3"/>
  <c r="B285" i="3"/>
  <c r="A281" i="3"/>
  <c r="C281" i="3" s="1"/>
  <c r="C255" i="3"/>
  <c r="E255" i="3" s="1"/>
  <c r="B281" i="3"/>
  <c r="B239" i="3"/>
  <c r="A33" i="8"/>
  <c r="AC32" i="8"/>
  <c r="N21" i="2"/>
  <c r="O20" i="2"/>
  <c r="C30" i="9"/>
  <c r="B289" i="3"/>
  <c r="C257" i="3"/>
  <c r="E257" i="3" s="1"/>
  <c r="A283" i="3"/>
  <c r="C283" i="3" s="1"/>
  <c r="AC29" i="1"/>
  <c r="H29" i="1"/>
  <c r="AG29" i="1" s="1"/>
  <c r="AK29" i="1" s="1"/>
  <c r="AD28" i="1"/>
  <c r="AJ28" i="1"/>
  <c r="AM28" i="1" s="1"/>
  <c r="B262" i="3"/>
  <c r="B189" i="3"/>
  <c r="M40" i="2"/>
  <c r="M32" i="2"/>
  <c r="M24" i="2"/>
  <c r="M48" i="2"/>
  <c r="M56" i="2"/>
  <c r="V30" i="1"/>
  <c r="W30" i="1"/>
  <c r="N30" i="1"/>
  <c r="P30" i="1"/>
  <c r="S30" i="1"/>
  <c r="G30" i="1"/>
  <c r="T30" i="1"/>
  <c r="Q30" i="1"/>
  <c r="D30" i="1"/>
  <c r="X30" i="1"/>
  <c r="F30" i="1"/>
  <c r="I30" i="1"/>
  <c r="L30" i="1"/>
  <c r="R30" i="1"/>
  <c r="Y30" i="1"/>
  <c r="K30" i="1"/>
  <c r="M30" i="1"/>
  <c r="O30" i="1"/>
  <c r="U30" i="1"/>
  <c r="A184" i="3" l="1"/>
  <c r="C158" i="3"/>
  <c r="E158" i="3" s="1"/>
  <c r="C83" i="3"/>
  <c r="E83" i="3" s="1"/>
  <c r="A109" i="3"/>
  <c r="A234" i="3"/>
  <c r="C208" i="3"/>
  <c r="E208" i="3" s="1"/>
  <c r="A84" i="3"/>
  <c r="C58" i="3"/>
  <c r="E58" i="3" s="1"/>
  <c r="A258" i="3"/>
  <c r="C232" i="3"/>
  <c r="E232" i="3" s="1"/>
  <c r="B35" i="3"/>
  <c r="B60" i="3"/>
  <c r="B86" i="3" s="1"/>
  <c r="B112" i="3" s="1"/>
  <c r="B138" i="3" s="1"/>
  <c r="B164" i="3" s="1"/>
  <c r="A159" i="3"/>
  <c r="C133" i="3"/>
  <c r="E133" i="3" s="1"/>
  <c r="A34" i="3"/>
  <c r="A59" i="3"/>
  <c r="C33" i="3"/>
  <c r="E33" i="3" s="1"/>
  <c r="A134" i="3"/>
  <c r="C108" i="3"/>
  <c r="E108" i="3" s="1"/>
  <c r="A209" i="3"/>
  <c r="C183" i="3"/>
  <c r="E183" i="3" s="1"/>
  <c r="J30" i="1"/>
  <c r="AE30" i="1"/>
  <c r="AF30" i="1" s="1"/>
  <c r="BM26" i="1" s="1"/>
  <c r="C30" i="1"/>
  <c r="AH30" i="1"/>
  <c r="AL29" i="1"/>
  <c r="AY26" i="1"/>
  <c r="AX24" i="1"/>
  <c r="AX22" i="1" s="1"/>
  <c r="AX29" i="1"/>
  <c r="BL29" i="1"/>
  <c r="BL24" i="1"/>
  <c r="BD24" i="1"/>
  <c r="BD22" i="1" s="1"/>
  <c r="BD29" i="1"/>
  <c r="AN29" i="1"/>
  <c r="BE26" i="1"/>
  <c r="C31" i="9"/>
  <c r="B286" i="3"/>
  <c r="AB31" i="1"/>
  <c r="E31" i="1"/>
  <c r="B190" i="3"/>
  <c r="A32" i="9"/>
  <c r="B31" i="9"/>
  <c r="B288" i="3"/>
  <c r="B215" i="3"/>
  <c r="P20" i="2"/>
  <c r="O21" i="2"/>
  <c r="E285" i="3"/>
  <c r="E283" i="3"/>
  <c r="AJ29" i="1"/>
  <c r="AM29" i="1" s="1"/>
  <c r="AD29" i="1"/>
  <c r="N40" i="2"/>
  <c r="N24" i="2"/>
  <c r="N32" i="2"/>
  <c r="N48" i="2"/>
  <c r="N56" i="2"/>
  <c r="AC33" i="8"/>
  <c r="A34" i="8"/>
  <c r="E281" i="3"/>
  <c r="B240" i="3"/>
  <c r="B265" i="3"/>
  <c r="AC30" i="1"/>
  <c r="H30" i="1"/>
  <c r="AG30" i="1" s="1"/>
  <c r="AK30" i="1" s="1"/>
  <c r="M31" i="1"/>
  <c r="V31" i="1"/>
  <c r="L31" i="1"/>
  <c r="O31" i="1"/>
  <c r="W31" i="1"/>
  <c r="N31" i="1"/>
  <c r="I31" i="1"/>
  <c r="P31" i="1"/>
  <c r="T31" i="1"/>
  <c r="K31" i="1"/>
  <c r="U31" i="1"/>
  <c r="Y31" i="1"/>
  <c r="X31" i="1"/>
  <c r="G31" i="1"/>
  <c r="Q31" i="1"/>
  <c r="F31" i="1"/>
  <c r="D31" i="1"/>
  <c r="R31" i="1"/>
  <c r="S31" i="1"/>
  <c r="C209" i="3" l="1"/>
  <c r="E209" i="3" s="1"/>
  <c r="A235" i="3"/>
  <c r="C59" i="3"/>
  <c r="E59" i="3" s="1"/>
  <c r="A85" i="3"/>
  <c r="C109" i="3"/>
  <c r="E109" i="3" s="1"/>
  <c r="A135" i="3"/>
  <c r="A60" i="3"/>
  <c r="C34" i="3"/>
  <c r="E34" i="3" s="1"/>
  <c r="A35" i="3"/>
  <c r="B61" i="3"/>
  <c r="B87" i="3" s="1"/>
  <c r="B113" i="3" s="1"/>
  <c r="B139" i="3" s="1"/>
  <c r="B165" i="3" s="1"/>
  <c r="B36" i="3"/>
  <c r="C84" i="3"/>
  <c r="E84" i="3" s="1"/>
  <c r="A110" i="3"/>
  <c r="C134" i="3"/>
  <c r="E134" i="3" s="1"/>
  <c r="A160" i="3"/>
  <c r="C159" i="3"/>
  <c r="E159" i="3" s="1"/>
  <c r="A185" i="3"/>
  <c r="C258" i="3"/>
  <c r="E258" i="3" s="1"/>
  <c r="A284" i="3"/>
  <c r="C284" i="3" s="1"/>
  <c r="E284" i="3" s="1"/>
  <c r="C234" i="3"/>
  <c r="E234" i="3" s="1"/>
  <c r="A260" i="3"/>
  <c r="C184" i="3"/>
  <c r="E184" i="3" s="1"/>
  <c r="A210" i="3"/>
  <c r="J31" i="1"/>
  <c r="AH31" i="1"/>
  <c r="AL31" i="1" s="1"/>
  <c r="AE31" i="1"/>
  <c r="AF31" i="1" s="1"/>
  <c r="C31" i="1"/>
  <c r="AL30" i="1"/>
  <c r="AZ26" i="1"/>
  <c r="AY29" i="1"/>
  <c r="AY24" i="1"/>
  <c r="AY22" i="1" s="1"/>
  <c r="BM24" i="1"/>
  <c r="BM29" i="1"/>
  <c r="BE24" i="1"/>
  <c r="BE22" i="1" s="1"/>
  <c r="BE29" i="1"/>
  <c r="AN30" i="1"/>
  <c r="BF26" i="1"/>
  <c r="B191" i="3"/>
  <c r="B241" i="3"/>
  <c r="B291" i="3"/>
  <c r="AJ30" i="1"/>
  <c r="AM30" i="1" s="1"/>
  <c r="AD30" i="1"/>
  <c r="B216" i="3"/>
  <c r="B266" i="3"/>
  <c r="AC34" i="8"/>
  <c r="A35" i="8"/>
  <c r="O24" i="2"/>
  <c r="O32" i="2"/>
  <c r="O40" i="2"/>
  <c r="O48" i="2"/>
  <c r="O56" i="2"/>
  <c r="AC31" i="1"/>
  <c r="H31" i="1"/>
  <c r="AG31" i="1" s="1"/>
  <c r="AK31" i="1" s="1"/>
  <c r="AN31" i="1" s="1"/>
  <c r="P21" i="2"/>
  <c r="Q20" i="2"/>
  <c r="B32" i="9"/>
  <c r="A33" i="9"/>
  <c r="AB32" i="1"/>
  <c r="E32" i="1"/>
  <c r="C32" i="9"/>
  <c r="U32" i="1"/>
  <c r="R32" i="1"/>
  <c r="Y32" i="1"/>
  <c r="F32" i="1"/>
  <c r="W32" i="1"/>
  <c r="P32" i="1"/>
  <c r="I32" i="1"/>
  <c r="N32" i="1"/>
  <c r="L32" i="1"/>
  <c r="M32" i="1"/>
  <c r="D32" i="1"/>
  <c r="O32" i="1"/>
  <c r="V32" i="1"/>
  <c r="S32" i="1"/>
  <c r="G32" i="1"/>
  <c r="T32" i="1"/>
  <c r="Q32" i="1"/>
  <c r="K32" i="1"/>
  <c r="X32" i="1"/>
  <c r="A236" i="3" l="1"/>
  <c r="C210" i="3"/>
  <c r="E210" i="3" s="1"/>
  <c r="A186" i="3"/>
  <c r="C160" i="3"/>
  <c r="E160" i="3" s="1"/>
  <c r="C85" i="3"/>
  <c r="E85" i="3" s="1"/>
  <c r="A111" i="3"/>
  <c r="B37" i="3"/>
  <c r="B62" i="3"/>
  <c r="B88" i="3" s="1"/>
  <c r="B114" i="3" s="1"/>
  <c r="B140" i="3" s="1"/>
  <c r="B166" i="3" s="1"/>
  <c r="A86" i="3"/>
  <c r="C60" i="3"/>
  <c r="E60" i="3" s="1"/>
  <c r="A286" i="3"/>
  <c r="C286" i="3" s="1"/>
  <c r="E286" i="3" s="1"/>
  <c r="C260" i="3"/>
  <c r="E260" i="3" s="1"/>
  <c r="C185" i="3"/>
  <c r="E185" i="3" s="1"/>
  <c r="A211" i="3"/>
  <c r="C135" i="3"/>
  <c r="E135" i="3" s="1"/>
  <c r="A161" i="3"/>
  <c r="A261" i="3"/>
  <c r="C235" i="3"/>
  <c r="E235" i="3" s="1"/>
  <c r="C110" i="3"/>
  <c r="E110" i="3" s="1"/>
  <c r="A136" i="3"/>
  <c r="C35" i="3"/>
  <c r="E35" i="3" s="1"/>
  <c r="A36" i="3"/>
  <c r="A61" i="3"/>
  <c r="AH32" i="1"/>
  <c r="AL32" i="1" s="1"/>
  <c r="J32" i="1"/>
  <c r="C32" i="1"/>
  <c r="AE32" i="1"/>
  <c r="AF32" i="1" s="1"/>
  <c r="AZ29" i="1"/>
  <c r="AZ24" i="1"/>
  <c r="AZ22" i="1" s="1"/>
  <c r="BF24" i="1"/>
  <c r="BF22" i="1" s="1"/>
  <c r="BF29" i="1"/>
  <c r="B192" i="3"/>
  <c r="B267" i="3"/>
  <c r="B33" i="9"/>
  <c r="C33" i="9" s="1"/>
  <c r="A34" i="9"/>
  <c r="A36" i="8"/>
  <c r="AC35" i="8"/>
  <c r="B242" i="3"/>
  <c r="AC32" i="1"/>
  <c r="H32" i="1"/>
  <c r="AG32" i="1" s="1"/>
  <c r="AK32" i="1" s="1"/>
  <c r="AN32" i="1" s="1"/>
  <c r="R20" i="2"/>
  <c r="R21" i="2" s="1"/>
  <c r="Q21" i="2"/>
  <c r="P40" i="2"/>
  <c r="P32" i="2"/>
  <c r="P24" i="2"/>
  <c r="P48" i="2"/>
  <c r="P56" i="2"/>
  <c r="AD31" i="1"/>
  <c r="AJ31" i="1"/>
  <c r="AM31" i="1" s="1"/>
  <c r="B292" i="3"/>
  <c r="B217" i="3"/>
  <c r="C136" i="3" l="1"/>
  <c r="E136" i="3" s="1"/>
  <c r="A162" i="3"/>
  <c r="C161" i="3"/>
  <c r="E161" i="3" s="1"/>
  <c r="A187" i="3"/>
  <c r="A87" i="3"/>
  <c r="C61" i="3"/>
  <c r="E61" i="3" s="1"/>
  <c r="B38" i="3"/>
  <c r="B63" i="3"/>
  <c r="B89" i="3" s="1"/>
  <c r="B115" i="3" s="1"/>
  <c r="B141" i="3" s="1"/>
  <c r="B167" i="3" s="1"/>
  <c r="A212" i="3"/>
  <c r="C186" i="3"/>
  <c r="E186" i="3" s="1"/>
  <c r="A37" i="3"/>
  <c r="A62" i="3"/>
  <c r="C36" i="3"/>
  <c r="E36" i="3" s="1"/>
  <c r="A237" i="3"/>
  <c r="C211" i="3"/>
  <c r="E211" i="3" s="1"/>
  <c r="A137" i="3"/>
  <c r="C111" i="3"/>
  <c r="E111" i="3" s="1"/>
  <c r="A287" i="3"/>
  <c r="C287" i="3" s="1"/>
  <c r="E287" i="3" s="1"/>
  <c r="C261" i="3"/>
  <c r="E261" i="3" s="1"/>
  <c r="C86" i="3"/>
  <c r="E86" i="3" s="1"/>
  <c r="A112" i="3"/>
  <c r="A262" i="3"/>
  <c r="C236" i="3"/>
  <c r="E236" i="3" s="1"/>
  <c r="Q32" i="2"/>
  <c r="Q24" i="2"/>
  <c r="Q40" i="2"/>
  <c r="Q48" i="2"/>
  <c r="Q56" i="2"/>
  <c r="A35" i="9"/>
  <c r="B34" i="9"/>
  <c r="C34" i="9" s="1"/>
  <c r="B218" i="3"/>
  <c r="B243" i="3"/>
  <c r="B193" i="3"/>
  <c r="R24" i="2"/>
  <c r="R32" i="2"/>
  <c r="R40" i="2"/>
  <c r="R48" i="2"/>
  <c r="R56" i="2"/>
  <c r="AD32" i="1"/>
  <c r="AJ32" i="1"/>
  <c r="AM32" i="1" s="1"/>
  <c r="AP20" i="1" s="1" a="1"/>
  <c r="B268" i="3"/>
  <c r="A37" i="8"/>
  <c r="AC36" i="8"/>
  <c r="B293" i="3"/>
  <c r="A163" i="3" l="1"/>
  <c r="C137" i="3"/>
  <c r="E137" i="3" s="1"/>
  <c r="A88" i="3"/>
  <c r="C62" i="3"/>
  <c r="E62" i="3" s="1"/>
  <c r="C187" i="3"/>
  <c r="E187" i="3" s="1"/>
  <c r="A213" i="3"/>
  <c r="A38" i="3"/>
  <c r="A63" i="3"/>
  <c r="C37" i="3"/>
  <c r="E37" i="3" s="1"/>
  <c r="B39" i="3"/>
  <c r="B64" i="3"/>
  <c r="B90" i="3" s="1"/>
  <c r="B116" i="3" s="1"/>
  <c r="B142" i="3" s="1"/>
  <c r="B168" i="3" s="1"/>
  <c r="A288" i="3"/>
  <c r="C288" i="3" s="1"/>
  <c r="E288" i="3" s="1"/>
  <c r="C262" i="3"/>
  <c r="E262" i="3" s="1"/>
  <c r="C237" i="3"/>
  <c r="E237" i="3" s="1"/>
  <c r="A263" i="3"/>
  <c r="C162" i="3"/>
  <c r="E162" i="3" s="1"/>
  <c r="A188" i="3"/>
  <c r="A138" i="3"/>
  <c r="C112" i="3"/>
  <c r="E112" i="3" s="1"/>
  <c r="A238" i="3"/>
  <c r="C212" i="3"/>
  <c r="E212" i="3" s="1"/>
  <c r="A113" i="3"/>
  <c r="C87" i="3"/>
  <c r="E87" i="3" s="1"/>
  <c r="B194" i="3"/>
  <c r="B219" i="3"/>
  <c r="A36" i="9"/>
  <c r="B35" i="9"/>
  <c r="C35" i="9" s="1"/>
  <c r="AP20" i="1"/>
  <c r="AT20" i="1"/>
  <c r="AS21" i="1"/>
  <c r="AR22" i="1"/>
  <c r="AQ23" i="1"/>
  <c r="AP24" i="1"/>
  <c r="AT24" i="1"/>
  <c r="AS25" i="1"/>
  <c r="AR26" i="1"/>
  <c r="AQ27" i="1"/>
  <c r="AP28" i="1"/>
  <c r="AT28" i="1"/>
  <c r="AQ20" i="1"/>
  <c r="AP21" i="1"/>
  <c r="AT21" i="1"/>
  <c r="AS22" i="1"/>
  <c r="AR23" i="1"/>
  <c r="AQ24" i="1"/>
  <c r="AP25" i="1"/>
  <c r="AT25" i="1"/>
  <c r="AS26" i="1"/>
  <c r="AR27" i="1"/>
  <c r="AQ28" i="1"/>
  <c r="AR20" i="1"/>
  <c r="AQ21" i="1"/>
  <c r="AP22" i="1"/>
  <c r="AT22" i="1"/>
  <c r="AS23" i="1"/>
  <c r="AR24" i="1"/>
  <c r="AQ25" i="1"/>
  <c r="AP26" i="1"/>
  <c r="AT26" i="1"/>
  <c r="AS27" i="1"/>
  <c r="AR28" i="1"/>
  <c r="AR21" i="1"/>
  <c r="AS24" i="1"/>
  <c r="AT27" i="1"/>
  <c r="AQ22" i="1"/>
  <c r="AR25" i="1"/>
  <c r="AS28" i="1"/>
  <c r="AP23" i="1"/>
  <c r="AQ26" i="1"/>
  <c r="AS20" i="1"/>
  <c r="AT23" i="1"/>
  <c r="AP27" i="1"/>
  <c r="AC37" i="8"/>
  <c r="A38" i="8"/>
  <c r="B269" i="3"/>
  <c r="B294" i="3"/>
  <c r="B244" i="3"/>
  <c r="A264" i="3" l="1"/>
  <c r="C238" i="3"/>
  <c r="E238" i="3" s="1"/>
  <c r="A89" i="3"/>
  <c r="C63" i="3"/>
  <c r="E63" i="3" s="1"/>
  <c r="C263" i="3"/>
  <c r="E263" i="3" s="1"/>
  <c r="A289" i="3"/>
  <c r="C289" i="3" s="1"/>
  <c r="E289" i="3" s="1"/>
  <c r="A64" i="3"/>
  <c r="C38" i="3"/>
  <c r="E38" i="3" s="1"/>
  <c r="A39" i="3"/>
  <c r="C88" i="3"/>
  <c r="E88" i="3" s="1"/>
  <c r="A114" i="3"/>
  <c r="A139" i="3"/>
  <c r="C113" i="3"/>
  <c r="E113" i="3" s="1"/>
  <c r="C138" i="3"/>
  <c r="E138" i="3" s="1"/>
  <c r="A164" i="3"/>
  <c r="B40" i="3"/>
  <c r="B65" i="3"/>
  <c r="B91" i="3" s="1"/>
  <c r="B117" i="3" s="1"/>
  <c r="B143" i="3" s="1"/>
  <c r="B169" i="3" s="1"/>
  <c r="B195" i="3" s="1"/>
  <c r="C213" i="3"/>
  <c r="E213" i="3" s="1"/>
  <c r="A239" i="3"/>
  <c r="A214" i="3"/>
  <c r="C188" i="3"/>
  <c r="E188" i="3" s="1"/>
  <c r="A189" i="3"/>
  <c r="C163" i="3"/>
  <c r="E163" i="3" s="1"/>
  <c r="B270" i="3"/>
  <c r="B36" i="9"/>
  <c r="C36" i="9" s="1"/>
  <c r="A37" i="9"/>
  <c r="B295" i="3"/>
  <c r="AC38" i="8"/>
  <c r="A39" i="8"/>
  <c r="B245" i="3"/>
  <c r="B220" i="3"/>
  <c r="A40" i="3" l="1"/>
  <c r="C39" i="3"/>
  <c r="E39" i="3" s="1"/>
  <c r="A65" i="3"/>
  <c r="C214" i="3"/>
  <c r="E214" i="3" s="1"/>
  <c r="A240" i="3"/>
  <c r="B41" i="3"/>
  <c r="B66" i="3"/>
  <c r="B92" i="3" s="1"/>
  <c r="B118" i="3" s="1"/>
  <c r="B144" i="3" s="1"/>
  <c r="B170" i="3" s="1"/>
  <c r="C139" i="3"/>
  <c r="E139" i="3" s="1"/>
  <c r="A165" i="3"/>
  <c r="A290" i="3"/>
  <c r="C290" i="3" s="1"/>
  <c r="E290" i="3" s="1"/>
  <c r="C264" i="3"/>
  <c r="E264" i="3" s="1"/>
  <c r="A265" i="3"/>
  <c r="C239" i="3"/>
  <c r="E239" i="3" s="1"/>
  <c r="C164" i="3"/>
  <c r="E164" i="3" s="1"/>
  <c r="A190" i="3"/>
  <c r="C114" i="3"/>
  <c r="E114" i="3" s="1"/>
  <c r="A140" i="3"/>
  <c r="C64" i="3"/>
  <c r="E64" i="3" s="1"/>
  <c r="A90" i="3"/>
  <c r="A115" i="3"/>
  <c r="C89" i="3"/>
  <c r="E89" i="3" s="1"/>
  <c r="A215" i="3"/>
  <c r="C189" i="3"/>
  <c r="E189" i="3" s="1"/>
  <c r="C37" i="9"/>
  <c r="B271" i="3"/>
  <c r="B196" i="3"/>
  <c r="B37" i="9"/>
  <c r="A38" i="9"/>
  <c r="B246" i="3"/>
  <c r="A40" i="8"/>
  <c r="AC39" i="8"/>
  <c r="B296" i="3"/>
  <c r="B221" i="3"/>
  <c r="A141" i="3" l="1"/>
  <c r="C115" i="3"/>
  <c r="E115" i="3" s="1"/>
  <c r="A291" i="3"/>
  <c r="C291" i="3" s="1"/>
  <c r="E291" i="3" s="1"/>
  <c r="C265" i="3"/>
  <c r="E265" i="3" s="1"/>
  <c r="A116" i="3"/>
  <c r="C90" i="3"/>
  <c r="E90" i="3" s="1"/>
  <c r="A216" i="3"/>
  <c r="C190" i="3"/>
  <c r="E190" i="3" s="1"/>
  <c r="A91" i="3"/>
  <c r="C65" i="3"/>
  <c r="E65" i="3" s="1"/>
  <c r="B42" i="3"/>
  <c r="B67" i="3"/>
  <c r="B93" i="3" s="1"/>
  <c r="B119" i="3" s="1"/>
  <c r="B145" i="3" s="1"/>
  <c r="B171" i="3" s="1"/>
  <c r="C215" i="3"/>
  <c r="E215" i="3" s="1"/>
  <c r="A241" i="3"/>
  <c r="A166" i="3"/>
  <c r="C140" i="3"/>
  <c r="E140" i="3" s="1"/>
  <c r="A191" i="3"/>
  <c r="C165" i="3"/>
  <c r="E165" i="3" s="1"/>
  <c r="A266" i="3"/>
  <c r="C240" i="3"/>
  <c r="E240" i="3" s="1"/>
  <c r="A66" i="3"/>
  <c r="C40" i="3"/>
  <c r="E40" i="3" s="1"/>
  <c r="A41" i="3"/>
  <c r="B247" i="3"/>
  <c r="B222" i="3"/>
  <c r="A41" i="8"/>
  <c r="AC40" i="8"/>
  <c r="B272" i="3"/>
  <c r="B38" i="9"/>
  <c r="A39" i="9"/>
  <c r="B297" i="3"/>
  <c r="B197" i="3"/>
  <c r="C38" i="9"/>
  <c r="C266" i="3" l="1"/>
  <c r="E266" i="3" s="1"/>
  <c r="A292" i="3"/>
  <c r="C292" i="3" s="1"/>
  <c r="E292" i="3" s="1"/>
  <c r="A192" i="3"/>
  <c r="C166" i="3"/>
  <c r="E166" i="3" s="1"/>
  <c r="B43" i="3"/>
  <c r="B68" i="3"/>
  <c r="B94" i="3" s="1"/>
  <c r="B120" i="3" s="1"/>
  <c r="B146" i="3" s="1"/>
  <c r="B172" i="3" s="1"/>
  <c r="A242" i="3"/>
  <c r="C216" i="3"/>
  <c r="E216" i="3" s="1"/>
  <c r="A267" i="3"/>
  <c r="C241" i="3"/>
  <c r="E241" i="3" s="1"/>
  <c r="C41" i="3"/>
  <c r="E41" i="3" s="1"/>
  <c r="A42" i="3"/>
  <c r="A67" i="3"/>
  <c r="C66" i="3"/>
  <c r="E66" i="3" s="1"/>
  <c r="A92" i="3"/>
  <c r="C191" i="3"/>
  <c r="E191" i="3" s="1"/>
  <c r="A217" i="3"/>
  <c r="A117" i="3"/>
  <c r="C91" i="3"/>
  <c r="E91" i="3" s="1"/>
  <c r="A142" i="3"/>
  <c r="C116" i="3"/>
  <c r="E116" i="3" s="1"/>
  <c r="C141" i="3"/>
  <c r="E141" i="3" s="1"/>
  <c r="A167" i="3"/>
  <c r="B198" i="3"/>
  <c r="AC41" i="8"/>
  <c r="A42" i="8"/>
  <c r="B223" i="3"/>
  <c r="B298" i="3"/>
  <c r="B39" i="9"/>
  <c r="C39" i="9" s="1"/>
  <c r="A40" i="9"/>
  <c r="B248" i="3"/>
  <c r="B273" i="3"/>
  <c r="A168" i="3" l="1"/>
  <c r="C142" i="3"/>
  <c r="E142" i="3" s="1"/>
  <c r="A43" i="3"/>
  <c r="A68" i="3"/>
  <c r="C42" i="3"/>
  <c r="E42" i="3" s="1"/>
  <c r="A193" i="3"/>
  <c r="C167" i="3"/>
  <c r="E167" i="3" s="1"/>
  <c r="A118" i="3"/>
  <c r="C92" i="3"/>
  <c r="E92" i="3" s="1"/>
  <c r="A268" i="3"/>
  <c r="C242" i="3"/>
  <c r="E242" i="3" s="1"/>
  <c r="C192" i="3"/>
  <c r="E192" i="3" s="1"/>
  <c r="A218" i="3"/>
  <c r="A143" i="3"/>
  <c r="C117" i="3"/>
  <c r="E117" i="3" s="1"/>
  <c r="C217" i="3"/>
  <c r="E217" i="3" s="1"/>
  <c r="A243" i="3"/>
  <c r="A93" i="3"/>
  <c r="C67" i="3"/>
  <c r="E67" i="3" s="1"/>
  <c r="A293" i="3"/>
  <c r="C293" i="3" s="1"/>
  <c r="E293" i="3" s="1"/>
  <c r="C267" i="3"/>
  <c r="E267" i="3" s="1"/>
  <c r="B69" i="3"/>
  <c r="B95" i="3" s="1"/>
  <c r="B121" i="3" s="1"/>
  <c r="B147" i="3" s="1"/>
  <c r="B173" i="3" s="1"/>
  <c r="B44" i="3"/>
  <c r="B274" i="3"/>
  <c r="AC42" i="8"/>
  <c r="A43" i="8"/>
  <c r="A41" i="9"/>
  <c r="B40" i="9"/>
  <c r="C40" i="9" s="1"/>
  <c r="B299" i="3"/>
  <c r="B249" i="3"/>
  <c r="B224" i="3"/>
  <c r="B199" i="3"/>
  <c r="A144" i="3" l="1"/>
  <c r="C118" i="3"/>
  <c r="E118" i="3" s="1"/>
  <c r="C68" i="3"/>
  <c r="E68" i="3" s="1"/>
  <c r="A94" i="3"/>
  <c r="A69" i="3"/>
  <c r="C43" i="3"/>
  <c r="E43" i="3" s="1"/>
  <c r="A44" i="3"/>
  <c r="B45" i="3"/>
  <c r="B70" i="3"/>
  <c r="B96" i="3" s="1"/>
  <c r="B122" i="3" s="1"/>
  <c r="B148" i="3" s="1"/>
  <c r="B174" i="3" s="1"/>
  <c r="A119" i="3"/>
  <c r="C93" i="3"/>
  <c r="E93" i="3" s="1"/>
  <c r="C143" i="3"/>
  <c r="E143" i="3" s="1"/>
  <c r="A169" i="3"/>
  <c r="C268" i="3"/>
  <c r="E268" i="3" s="1"/>
  <c r="A294" i="3"/>
  <c r="C294" i="3" s="1"/>
  <c r="E294" i="3" s="1"/>
  <c r="A219" i="3"/>
  <c r="C193" i="3"/>
  <c r="E193" i="3" s="1"/>
  <c r="A269" i="3"/>
  <c r="C243" i="3"/>
  <c r="E243" i="3" s="1"/>
  <c r="A244" i="3"/>
  <c r="C218" i="3"/>
  <c r="E218" i="3" s="1"/>
  <c r="C168" i="3"/>
  <c r="E168" i="3" s="1"/>
  <c r="A194" i="3"/>
  <c r="A42" i="9"/>
  <c r="B41" i="9"/>
  <c r="C41" i="9" s="1"/>
  <c r="B300" i="3"/>
  <c r="B250" i="3"/>
  <c r="B275" i="3"/>
  <c r="B200" i="3"/>
  <c r="B225" i="3"/>
  <c r="A44" i="8"/>
  <c r="AC43" i="8"/>
  <c r="A270" i="3" l="1"/>
  <c r="C244" i="3"/>
  <c r="E244" i="3" s="1"/>
  <c r="A245" i="3"/>
  <c r="C219" i="3"/>
  <c r="E219" i="3" s="1"/>
  <c r="B71" i="3"/>
  <c r="B97" i="3" s="1"/>
  <c r="B123" i="3" s="1"/>
  <c r="B149" i="3" s="1"/>
  <c r="B175" i="3" s="1"/>
  <c r="B46" i="3"/>
  <c r="B72" i="3" s="1"/>
  <c r="B98" i="3" s="1"/>
  <c r="B124" i="3" s="1"/>
  <c r="B150" i="3" s="1"/>
  <c r="A120" i="3"/>
  <c r="C94" i="3"/>
  <c r="E94" i="3" s="1"/>
  <c r="C44" i="3"/>
  <c r="E44" i="3" s="1"/>
  <c r="A70" i="3"/>
  <c r="A45" i="3"/>
  <c r="A220" i="3"/>
  <c r="C194" i="3"/>
  <c r="E194" i="3" s="1"/>
  <c r="C269" i="3"/>
  <c r="E269" i="3" s="1"/>
  <c r="A295" i="3"/>
  <c r="C295" i="3" s="1"/>
  <c r="E295" i="3" s="1"/>
  <c r="C119" i="3"/>
  <c r="E119" i="3" s="1"/>
  <c r="A145" i="3"/>
  <c r="C169" i="3"/>
  <c r="E169" i="3" s="1"/>
  <c r="A195" i="3"/>
  <c r="A95" i="3"/>
  <c r="C69" i="3"/>
  <c r="E69" i="3" s="1"/>
  <c r="A170" i="3"/>
  <c r="C144" i="3"/>
  <c r="E144" i="3" s="1"/>
  <c r="A45" i="8"/>
  <c r="AC44" i="8"/>
  <c r="B251" i="3"/>
  <c r="B301" i="3"/>
  <c r="B42" i="9"/>
  <c r="A43" i="9"/>
  <c r="B201" i="3"/>
  <c r="B226" i="3"/>
  <c r="B176" i="3"/>
  <c r="B276" i="3"/>
  <c r="C42" i="9"/>
  <c r="A196" i="3" l="1"/>
  <c r="C170" i="3"/>
  <c r="E170" i="3" s="1"/>
  <c r="C70" i="3"/>
  <c r="E70" i="3" s="1"/>
  <c r="A96" i="3"/>
  <c r="A121" i="3"/>
  <c r="C95" i="3"/>
  <c r="E95" i="3" s="1"/>
  <c r="A246" i="3"/>
  <c r="C220" i="3"/>
  <c r="E220" i="3" s="1"/>
  <c r="C195" i="3"/>
  <c r="E195" i="3" s="1"/>
  <c r="A221" i="3"/>
  <c r="A46" i="3"/>
  <c r="A71" i="3"/>
  <c r="C45" i="3"/>
  <c r="E45" i="3" s="1"/>
  <c r="C120" i="3"/>
  <c r="E120" i="3" s="1"/>
  <c r="A146" i="3"/>
  <c r="A271" i="3"/>
  <c r="C245" i="3"/>
  <c r="E245" i="3" s="1"/>
  <c r="C145" i="3"/>
  <c r="E145" i="3" s="1"/>
  <c r="A171" i="3"/>
  <c r="C270" i="3"/>
  <c r="E270" i="3" s="1"/>
  <c r="A296" i="3"/>
  <c r="C296" i="3" s="1"/>
  <c r="E296" i="3" s="1"/>
  <c r="B302" i="3"/>
  <c r="B202" i="3"/>
  <c r="B252" i="3"/>
  <c r="B227" i="3"/>
  <c r="B277" i="3"/>
  <c r="B43" i="9"/>
  <c r="C43" i="9" s="1"/>
  <c r="A44" i="9"/>
  <c r="A46" i="8"/>
  <c r="AC45" i="8"/>
  <c r="A297" i="3" l="1"/>
  <c r="C297" i="3" s="1"/>
  <c r="E297" i="3" s="1"/>
  <c r="C271" i="3"/>
  <c r="E271" i="3" s="1"/>
  <c r="C71" i="3"/>
  <c r="E71" i="3" s="1"/>
  <c r="A97" i="3"/>
  <c r="A122" i="3"/>
  <c r="C96" i="3"/>
  <c r="E96" i="3" s="1"/>
  <c r="A172" i="3"/>
  <c r="C146" i="3"/>
  <c r="E146" i="3" s="1"/>
  <c r="C46" i="3"/>
  <c r="E46" i="3" s="1"/>
  <c r="A72" i="3"/>
  <c r="A272" i="3"/>
  <c r="C246" i="3"/>
  <c r="E246" i="3" s="1"/>
  <c r="C221" i="3"/>
  <c r="E221" i="3" s="1"/>
  <c r="A247" i="3"/>
  <c r="A197" i="3"/>
  <c r="C171" i="3"/>
  <c r="E171" i="3" s="1"/>
  <c r="A147" i="3"/>
  <c r="C121" i="3"/>
  <c r="E121" i="3" s="1"/>
  <c r="A222" i="3"/>
  <c r="C196" i="3"/>
  <c r="E196" i="3" s="1"/>
  <c r="B303" i="3"/>
  <c r="B228" i="3"/>
  <c r="A47" i="8"/>
  <c r="AC46" i="8"/>
  <c r="B253" i="3"/>
  <c r="B278" i="3"/>
  <c r="A45" i="9"/>
  <c r="B44" i="9"/>
  <c r="C44" i="9" s="1"/>
  <c r="C97" i="3" l="1"/>
  <c r="E97" i="3" s="1"/>
  <c r="A123" i="3"/>
  <c r="A248" i="3"/>
  <c r="C222" i="3"/>
  <c r="E222" i="3" s="1"/>
  <c r="A223" i="3"/>
  <c r="C197" i="3"/>
  <c r="E197" i="3" s="1"/>
  <c r="A298" i="3"/>
  <c r="C298" i="3" s="1"/>
  <c r="E298" i="3" s="1"/>
  <c r="C272" i="3"/>
  <c r="E272" i="3" s="1"/>
  <c r="A198" i="3"/>
  <c r="C172" i="3"/>
  <c r="E172" i="3" s="1"/>
  <c r="C247" i="3"/>
  <c r="E247" i="3" s="1"/>
  <c r="A273" i="3"/>
  <c r="C72" i="3"/>
  <c r="E72" i="3" s="1"/>
  <c r="A98" i="3"/>
  <c r="A173" i="3"/>
  <c r="C147" i="3"/>
  <c r="E147" i="3" s="1"/>
  <c r="C122" i="3"/>
  <c r="E122" i="3" s="1"/>
  <c r="A148" i="3"/>
  <c r="A46" i="9"/>
  <c r="B45" i="9"/>
  <c r="B304" i="3"/>
  <c r="B254" i="3"/>
  <c r="C45" i="9"/>
  <c r="B279" i="3"/>
  <c r="A48" i="8"/>
  <c r="AC47" i="8"/>
  <c r="C148" i="3" l="1"/>
  <c r="E148" i="3" s="1"/>
  <c r="A174" i="3"/>
  <c r="A299" i="3"/>
  <c r="C299" i="3" s="1"/>
  <c r="E299" i="3" s="1"/>
  <c r="C273" i="3"/>
  <c r="E273" i="3" s="1"/>
  <c r="C248" i="3"/>
  <c r="E248" i="3" s="1"/>
  <c r="A274" i="3"/>
  <c r="A199" i="3"/>
  <c r="C173" i="3"/>
  <c r="E173" i="3" s="1"/>
  <c r="C98" i="3"/>
  <c r="E98" i="3" s="1"/>
  <c r="A124" i="3"/>
  <c r="A149" i="3"/>
  <c r="C123" i="3"/>
  <c r="E123" i="3" s="1"/>
  <c r="A224" i="3"/>
  <c r="C198" i="3"/>
  <c r="E198" i="3" s="1"/>
  <c r="A249" i="3"/>
  <c r="C223" i="3"/>
  <c r="E223" i="3" s="1"/>
  <c r="B46" i="9"/>
  <c r="A47" i="9"/>
  <c r="AC48" i="8"/>
  <c r="A49" i="8"/>
  <c r="B280" i="3"/>
  <c r="B305" i="3"/>
  <c r="C46" i="9"/>
  <c r="A275" i="3" l="1"/>
  <c r="C249" i="3"/>
  <c r="E249" i="3" s="1"/>
  <c r="A175" i="3"/>
  <c r="C149" i="3"/>
  <c r="E149" i="3" s="1"/>
  <c r="A225" i="3"/>
  <c r="C199" i="3"/>
  <c r="E199" i="3" s="1"/>
  <c r="A150" i="3"/>
  <c r="C124" i="3"/>
  <c r="E124" i="3" s="1"/>
  <c r="A300" i="3"/>
  <c r="C300" i="3" s="1"/>
  <c r="E300" i="3" s="1"/>
  <c r="C274" i="3"/>
  <c r="E274" i="3" s="1"/>
  <c r="C174" i="3"/>
  <c r="E174" i="3" s="1"/>
  <c r="A200" i="3"/>
  <c r="A250" i="3"/>
  <c r="C224" i="3"/>
  <c r="E224" i="3" s="1"/>
  <c r="B47" i="9"/>
  <c r="C47" i="9" s="1"/>
  <c r="A48" i="9"/>
  <c r="A50" i="8"/>
  <c r="AC49" i="8"/>
  <c r="B306" i="3"/>
  <c r="C200" i="3" l="1"/>
  <c r="E200" i="3" s="1"/>
  <c r="A226" i="3"/>
  <c r="A176" i="3"/>
  <c r="C150" i="3"/>
  <c r="E150" i="3" s="1"/>
  <c r="A201" i="3"/>
  <c r="C175" i="3"/>
  <c r="E175" i="3" s="1"/>
  <c r="C250" i="3"/>
  <c r="E250" i="3" s="1"/>
  <c r="A276" i="3"/>
  <c r="C225" i="3"/>
  <c r="E225" i="3" s="1"/>
  <c r="A251" i="3"/>
  <c r="C275" i="3"/>
  <c r="E275" i="3" s="1"/>
  <c r="A301" i="3"/>
  <c r="C301" i="3" s="1"/>
  <c r="E301" i="3" s="1"/>
  <c r="A51" i="8"/>
  <c r="AC50" i="8"/>
  <c r="A49" i="9"/>
  <c r="B48" i="9"/>
  <c r="C48" i="9" s="1"/>
  <c r="C276" i="3" l="1"/>
  <c r="E276" i="3" s="1"/>
  <c r="A302" i="3"/>
  <c r="C302" i="3" s="1"/>
  <c r="E302" i="3" s="1"/>
  <c r="A202" i="3"/>
  <c r="C176" i="3"/>
  <c r="E176" i="3" s="1"/>
  <c r="A277" i="3"/>
  <c r="C251" i="3"/>
  <c r="E251" i="3" s="1"/>
  <c r="C226" i="3"/>
  <c r="E226" i="3" s="1"/>
  <c r="A252" i="3"/>
  <c r="A227" i="3"/>
  <c r="C201" i="3"/>
  <c r="E201" i="3" s="1"/>
  <c r="A52" i="8"/>
  <c r="AC51" i="8"/>
  <c r="A50" i="9"/>
  <c r="B49" i="9"/>
  <c r="C49" i="9" s="1"/>
  <c r="A228" i="3" l="1"/>
  <c r="C202" i="3"/>
  <c r="E202" i="3" s="1"/>
  <c r="A278" i="3"/>
  <c r="C252" i="3"/>
  <c r="E252" i="3" s="1"/>
  <c r="A253" i="3"/>
  <c r="C227" i="3"/>
  <c r="E227" i="3" s="1"/>
  <c r="C277" i="3"/>
  <c r="E277" i="3" s="1"/>
  <c r="A303" i="3"/>
  <c r="C303" i="3" s="1"/>
  <c r="E303" i="3" s="1"/>
  <c r="B50" i="9"/>
  <c r="C50" i="9" s="1"/>
  <c r="A51" i="9"/>
  <c r="AC52" i="8"/>
  <c r="A53" i="8"/>
  <c r="A304" i="3" l="1"/>
  <c r="C304" i="3" s="1"/>
  <c r="E304" i="3" s="1"/>
  <c r="C278" i="3"/>
  <c r="E278" i="3" s="1"/>
  <c r="A279" i="3"/>
  <c r="C253" i="3"/>
  <c r="E253" i="3" s="1"/>
  <c r="A254" i="3"/>
  <c r="C228" i="3"/>
  <c r="E228" i="3" s="1"/>
  <c r="A54" i="8"/>
  <c r="AC53" i="8"/>
  <c r="B51" i="9"/>
  <c r="C51" i="9" s="1"/>
  <c r="A52" i="9"/>
  <c r="A305" i="3" l="1"/>
  <c r="C305" i="3" s="1"/>
  <c r="E305" i="3" s="1"/>
  <c r="C279" i="3"/>
  <c r="E279" i="3" s="1"/>
  <c r="C254" i="3"/>
  <c r="E254" i="3" s="1"/>
  <c r="A280" i="3"/>
  <c r="A53" i="9"/>
  <c r="B52" i="9"/>
  <c r="C52" i="9" s="1"/>
  <c r="A55" i="8"/>
  <c r="AC54" i="8"/>
  <c r="A306" i="3" l="1"/>
  <c r="C306" i="3" s="1"/>
  <c r="E306" i="3" s="1"/>
  <c r="C280" i="3"/>
  <c r="E280" i="3" s="1"/>
  <c r="A56" i="8"/>
  <c r="AC55" i="8"/>
  <c r="A54" i="9"/>
  <c r="B53" i="9"/>
  <c r="C53" i="9" s="1"/>
  <c r="B54" i="9" l="1"/>
  <c r="C54" i="9" s="1"/>
  <c r="A55" i="9"/>
  <c r="A57" i="8"/>
  <c r="AC56" i="8"/>
  <c r="B55" i="9" l="1"/>
  <c r="C55" i="9" s="1"/>
  <c r="A56" i="9"/>
  <c r="A58" i="8"/>
  <c r="AC57" i="8"/>
  <c r="A59" i="8" l="1"/>
  <c r="AC58" i="8"/>
  <c r="A57" i="9"/>
  <c r="B56" i="9"/>
  <c r="C56" i="9" s="1"/>
  <c r="A58" i="9" l="1"/>
  <c r="B57" i="9"/>
  <c r="C57" i="9" s="1"/>
  <c r="A60" i="8"/>
  <c r="AC59" i="8"/>
  <c r="B58" i="9" l="1"/>
  <c r="C58" i="9" s="1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G61" i="9"/>
  <c r="Q61" i="9"/>
  <c r="F61" i="9"/>
  <c r="J61" i="9"/>
  <c r="H61" i="9" l="1"/>
  <c r="I61" i="9"/>
  <c r="K61" i="9" l="1"/>
  <c r="L61" i="9" s="1"/>
  <c r="M61" i="9" s="1"/>
  <c r="D60" i="9" s="1"/>
  <c r="E60" i="9" s="1"/>
  <c r="O61" i="9"/>
  <c r="F60" i="9"/>
  <c r="J60" i="9"/>
  <c r="G60" i="9"/>
  <c r="Q60" i="9"/>
  <c r="H60" i="9" l="1"/>
  <c r="I60" i="9"/>
  <c r="O60" i="9" l="1"/>
  <c r="K60" i="9"/>
  <c r="L60" i="9" s="1"/>
  <c r="M60" i="9" s="1"/>
  <c r="D59" i="9" s="1"/>
  <c r="E59" i="9" s="1"/>
  <c r="J59" i="9"/>
  <c r="F59" i="9"/>
  <c r="G59" i="9"/>
  <c r="Q59" i="9"/>
  <c r="H59" i="9" l="1"/>
  <c r="I59" i="9"/>
  <c r="K59" i="9" l="1"/>
  <c r="L59" i="9" s="1"/>
  <c r="M59" i="9" s="1"/>
  <c r="D58" i="9" s="1"/>
  <c r="E58" i="9" s="1"/>
  <c r="O59" i="9"/>
  <c r="J58" i="9"/>
  <c r="G58" i="9"/>
  <c r="F58" i="9"/>
  <c r="Q58" i="9"/>
  <c r="H58" i="9" l="1"/>
  <c r="I58" i="9"/>
  <c r="O58" i="9" l="1"/>
  <c r="K58" i="9"/>
  <c r="L58" i="9" s="1"/>
  <c r="M58" i="9" s="1"/>
  <c r="D57" i="9" s="1"/>
  <c r="E57" i="9" s="1"/>
  <c r="J57" i="9"/>
  <c r="F57" i="9"/>
  <c r="G57" i="9"/>
  <c r="Q57" i="9"/>
  <c r="H57" i="9" l="1"/>
  <c r="I57" i="9"/>
  <c r="O57" i="9" l="1"/>
  <c r="K57" i="9"/>
  <c r="L57" i="9" s="1"/>
  <c r="M57" i="9" s="1"/>
  <c r="D56" i="9" s="1"/>
  <c r="E56" i="9" s="1"/>
  <c r="J56" i="9"/>
  <c r="F56" i="9"/>
  <c r="G56" i="9"/>
  <c r="Q56" i="9"/>
  <c r="H56" i="9" l="1"/>
  <c r="I56" i="9"/>
  <c r="K56" i="9" l="1"/>
  <c r="L56" i="9" s="1"/>
  <c r="M56" i="9" s="1"/>
  <c r="D55" i="9" s="1"/>
  <c r="E55" i="9" s="1"/>
  <c r="O56" i="9"/>
  <c r="G55" i="9"/>
  <c r="J55" i="9"/>
  <c r="F55" i="9"/>
  <c r="Q55" i="9"/>
  <c r="H55" i="9" l="1"/>
  <c r="I55" i="9"/>
  <c r="O55" i="9" l="1"/>
  <c r="K55" i="9"/>
  <c r="L55" i="9" s="1"/>
  <c r="M55" i="9" s="1"/>
  <c r="D54" i="9" s="1"/>
  <c r="E54" i="9" s="1"/>
  <c r="Q54" i="9"/>
  <c r="F54" i="9"/>
  <c r="J54" i="9"/>
  <c r="G54" i="9"/>
  <c r="H54" i="9" l="1"/>
  <c r="I54" i="9"/>
  <c r="O54" i="9" l="1"/>
  <c r="K54" i="9"/>
  <c r="L54" i="9" s="1"/>
  <c r="M54" i="9" s="1"/>
  <c r="D53" i="9" s="1"/>
  <c r="E53" i="9" s="1"/>
  <c r="G53" i="9"/>
  <c r="F53" i="9"/>
  <c r="J53" i="9"/>
  <c r="Q53" i="9"/>
  <c r="H53" i="9" l="1"/>
  <c r="I53" i="9"/>
  <c r="K53" i="9" l="1"/>
  <c r="L53" i="9" s="1"/>
  <c r="M53" i="9" s="1"/>
  <c r="D52" i="9" s="1"/>
  <c r="E52" i="9" s="1"/>
  <c r="O53" i="9"/>
  <c r="J52" i="9"/>
  <c r="F52" i="9"/>
  <c r="Q52" i="9"/>
  <c r="G52" i="9"/>
  <c r="H52" i="9" l="1"/>
  <c r="I52" i="9"/>
  <c r="O52" i="9" l="1"/>
  <c r="K52" i="9"/>
  <c r="L52" i="9" s="1"/>
  <c r="M52" i="9" s="1"/>
  <c r="D51" i="9" s="1"/>
  <c r="E51" i="9" s="1"/>
  <c r="Q51" i="9"/>
  <c r="J51" i="9"/>
  <c r="F51" i="9"/>
  <c r="G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G49" i="9"/>
  <c r="Q49" i="9"/>
  <c r="F49" i="9"/>
  <c r="J49" i="9"/>
  <c r="H49" i="9" l="1"/>
  <c r="I49" i="9"/>
  <c r="K49" i="9" l="1"/>
  <c r="L49" i="9" s="1"/>
  <c r="M49" i="9" s="1"/>
  <c r="D48" i="9" s="1"/>
  <c r="E48" i="9" s="1"/>
  <c r="O49" i="9"/>
  <c r="J48" i="9"/>
  <c r="F48" i="9"/>
  <c r="G48" i="9"/>
  <c r="Q48" i="9"/>
  <c r="H48" i="9" l="1"/>
  <c r="I48" i="9"/>
  <c r="O48" i="9" l="1"/>
  <c r="K48" i="9"/>
  <c r="L48" i="9" s="1"/>
  <c r="M48" i="9" s="1"/>
  <c r="D47" i="9" s="1"/>
  <c r="E47" i="9" s="1"/>
  <c r="Q47" i="9"/>
  <c r="F47" i="9"/>
  <c r="G47" i="9"/>
  <c r="J47" i="9"/>
  <c r="H47" i="9" l="1"/>
  <c r="I47" i="9"/>
  <c r="O47" i="9" l="1"/>
  <c r="K47" i="9"/>
  <c r="L47" i="9" s="1"/>
  <c r="M47" i="9" s="1"/>
  <c r="D46" i="9" s="1"/>
  <c r="E46" i="9" s="1"/>
  <c r="F46" i="9"/>
  <c r="J46" i="9"/>
  <c r="Q46" i="9"/>
  <c r="G46" i="9"/>
  <c r="H46" i="9" l="1"/>
  <c r="I46" i="9"/>
  <c r="K46" i="9" l="1"/>
  <c r="L46" i="9" s="1"/>
  <c r="M46" i="9" s="1"/>
  <c r="D45" i="9" s="1"/>
  <c r="E45" i="9" s="1"/>
  <c r="O46" i="9"/>
  <c r="J45" i="9"/>
  <c r="Q45" i="9"/>
  <c r="G45" i="9"/>
  <c r="F45" i="9"/>
  <c r="H45" i="9" l="1"/>
  <c r="I45" i="9"/>
  <c r="O45" i="9" l="1"/>
  <c r="K45" i="9"/>
  <c r="L45" i="9" s="1"/>
  <c r="M45" i="9" s="1"/>
  <c r="D44" i="9" s="1"/>
  <c r="E44" i="9" s="1"/>
  <c r="G44" i="9"/>
  <c r="Q44" i="9"/>
  <c r="J44" i="9"/>
  <c r="F44" i="9"/>
  <c r="H44" i="9" l="1"/>
  <c r="I44" i="9"/>
  <c r="K44" i="9" l="1"/>
  <c r="L44" i="9" s="1"/>
  <c r="M44" i="9" s="1"/>
  <c r="D43" i="9" s="1"/>
  <c r="E43" i="9" s="1"/>
  <c r="O44" i="9"/>
  <c r="Q43" i="9"/>
  <c r="G43" i="9"/>
  <c r="J43" i="9"/>
  <c r="F43" i="9"/>
  <c r="H43" i="9" l="1"/>
  <c r="I43" i="9"/>
  <c r="K43" i="9" l="1"/>
  <c r="L43" i="9" s="1"/>
  <c r="M43" i="9" s="1"/>
  <c r="D42" i="9" s="1"/>
  <c r="E42" i="9" s="1"/>
  <c r="O43" i="9"/>
  <c r="F42" i="9"/>
  <c r="J42" i="9"/>
  <c r="G42" i="9"/>
  <c r="Q42" i="9"/>
  <c r="H42" i="9" l="1"/>
  <c r="I42" i="9"/>
  <c r="K42" i="9" l="1"/>
  <c r="L42" i="9" s="1"/>
  <c r="M42" i="9" s="1"/>
  <c r="D41" i="9" s="1"/>
  <c r="E41" i="9" s="1"/>
  <c r="O42" i="9"/>
  <c r="J41" i="9"/>
  <c r="F41" i="9"/>
  <c r="Q41" i="9"/>
  <c r="G41" i="9"/>
  <c r="H41" i="9" l="1"/>
  <c r="I41" i="9"/>
  <c r="K41" i="9" l="1"/>
  <c r="L41" i="9" s="1"/>
  <c r="M41" i="9" s="1"/>
  <c r="D40" i="9" s="1"/>
  <c r="E40" i="9" s="1"/>
  <c r="O41" i="9"/>
  <c r="G40" i="9"/>
  <c r="Q40" i="9"/>
  <c r="J40" i="9"/>
  <c r="F40" i="9"/>
  <c r="H40" i="9" l="1"/>
  <c r="I40" i="9"/>
  <c r="K40" i="9" l="1"/>
  <c r="L40" i="9" s="1"/>
  <c r="M40" i="9" s="1"/>
  <c r="D39" i="9" s="1"/>
  <c r="E39" i="9" s="1"/>
  <c r="O40" i="9"/>
  <c r="Q39" i="9"/>
  <c r="J39" i="9"/>
  <c r="G39" i="9"/>
  <c r="F39" i="9"/>
  <c r="H39" i="9" l="1"/>
  <c r="I39" i="9"/>
  <c r="K39" i="9" l="1"/>
  <c r="L39" i="9" s="1"/>
  <c r="M39" i="9" s="1"/>
  <c r="D38" i="9" s="1"/>
  <c r="E38" i="9" s="1"/>
  <c r="O39" i="9"/>
  <c r="F38" i="9"/>
  <c r="J38" i="9"/>
  <c r="G38" i="9"/>
  <c r="Q38" i="9"/>
  <c r="H38" i="9" l="1"/>
  <c r="I38" i="9"/>
  <c r="K38" i="9" l="1"/>
  <c r="L38" i="9" s="1"/>
  <c r="M38" i="9" s="1"/>
  <c r="D37" i="9" s="1"/>
  <c r="E37" i="9" s="1"/>
  <c r="O38" i="9"/>
  <c r="Q37" i="9"/>
  <c r="F37" i="9"/>
  <c r="G37" i="9"/>
  <c r="J37" i="9"/>
  <c r="H37" i="9" l="1"/>
  <c r="I37" i="9"/>
  <c r="O37" i="9" l="1"/>
  <c r="K37" i="9"/>
  <c r="L37" i="9" s="1"/>
  <c r="M37" i="9" s="1"/>
  <c r="D36" i="9" s="1"/>
  <c r="E36" i="9" s="1"/>
  <c r="G36" i="9"/>
  <c r="F36" i="9"/>
  <c r="J36" i="9"/>
  <c r="Q36" i="9"/>
  <c r="H36" i="9" l="1"/>
  <c r="K36" i="9" l="1"/>
  <c r="L36" i="9" s="1"/>
  <c r="I36" i="9"/>
  <c r="O36" i="9" l="1"/>
  <c r="M36" i="9"/>
  <c r="D35" i="9" s="1"/>
  <c r="E35" i="9" l="1"/>
  <c r="G35" i="9"/>
  <c r="F35" i="9"/>
  <c r="J35" i="9"/>
  <c r="Q35" i="9"/>
  <c r="H35" i="9" l="1"/>
  <c r="K35" i="9" l="1"/>
  <c r="L35" i="9" s="1"/>
  <c r="I35" i="9"/>
  <c r="O35" i="9" l="1"/>
  <c r="M35" i="9"/>
  <c r="D34" i="9" s="1"/>
  <c r="E34" i="9" l="1"/>
  <c r="G34" i="9"/>
  <c r="J34" i="9"/>
  <c r="Q34" i="9"/>
  <c r="F34" i="9"/>
  <c r="H34" i="9" l="1"/>
  <c r="K34" i="9" l="1"/>
  <c r="L34" i="9" s="1"/>
  <c r="I34" i="9"/>
  <c r="O34" i="9" l="1"/>
  <c r="M34" i="9"/>
  <c r="D33" i="9" s="1"/>
  <c r="E33" i="9" l="1"/>
  <c r="F33" i="9"/>
  <c r="J33" i="9"/>
  <c r="Q33" i="9"/>
  <c r="G33" i="9"/>
  <c r="H33" i="9" l="1"/>
  <c r="K33" i="9" l="1"/>
  <c r="L33" i="9" s="1"/>
  <c r="I33" i="9"/>
  <c r="O33" i="9" l="1"/>
  <c r="M33" i="9"/>
  <c r="D32" i="9" s="1"/>
  <c r="E32" i="9" l="1"/>
  <c r="F32" i="9"/>
  <c r="J32" i="9"/>
  <c r="Q32" i="9"/>
  <c r="G32" i="9"/>
  <c r="H32" i="9" l="1"/>
  <c r="K32" i="9" l="1"/>
  <c r="L32" i="9" s="1"/>
  <c r="I32" i="9"/>
  <c r="O32" i="9" l="1"/>
  <c r="M32" i="9"/>
  <c r="D31" i="9" s="1"/>
  <c r="E31" i="9" l="1"/>
  <c r="F31" i="9"/>
  <c r="J31" i="9"/>
  <c r="G31" i="9"/>
  <c r="Q31" i="9"/>
  <c r="H31" i="9" l="1"/>
  <c r="K31" i="9" l="1"/>
  <c r="L31" i="9" s="1"/>
  <c r="I31" i="9"/>
  <c r="O31" i="9" l="1"/>
  <c r="M31" i="9"/>
  <c r="D30" i="9" s="1"/>
  <c r="E30" i="9" l="1"/>
  <c r="G30" i="9"/>
  <c r="F30" i="9"/>
  <c r="J30" i="9"/>
  <c r="Q30" i="9"/>
  <c r="H30" i="9" l="1"/>
  <c r="K30" i="9" l="1"/>
  <c r="L30" i="9" s="1"/>
  <c r="I30" i="9"/>
  <c r="O30" i="9" l="1"/>
  <c r="M30" i="9"/>
  <c r="D29" i="9" s="1"/>
  <c r="E29" i="9" l="1"/>
  <c r="J29" i="9"/>
  <c r="G29" i="9"/>
  <c r="Q29" i="9"/>
  <c r="F29" i="9"/>
  <c r="H29" i="9" l="1"/>
  <c r="K29" i="9" l="1"/>
  <c r="L29" i="9" s="1"/>
  <c r="I29" i="9"/>
  <c r="O29" i="9" l="1"/>
  <c r="M29" i="9"/>
  <c r="D28" i="9" s="1"/>
  <c r="E28" i="9" l="1"/>
  <c r="F28" i="9"/>
  <c r="J28" i="9"/>
  <c r="Q28" i="9"/>
  <c r="G28" i="9"/>
  <c r="H28" i="9" l="1"/>
  <c r="K28" i="9" l="1"/>
  <c r="L28" i="9" s="1"/>
  <c r="I28" i="9"/>
  <c r="O28" i="9" l="1"/>
  <c r="M28" i="9"/>
  <c r="D27" i="9" s="1"/>
  <c r="E27" i="9" l="1"/>
  <c r="J27" i="9"/>
  <c r="F27" i="9"/>
  <c r="Q27" i="9"/>
  <c r="G27" i="9"/>
  <c r="H27" i="9" l="1"/>
  <c r="K27" i="9" l="1"/>
  <c r="L27" i="9" s="1"/>
  <c r="I27" i="9"/>
  <c r="O27" i="9" l="1"/>
  <c r="M27" i="9"/>
  <c r="D26" i="9" s="1"/>
  <c r="E26" i="9" l="1"/>
  <c r="F26" i="9"/>
  <c r="J26" i="9"/>
  <c r="Q26" i="9"/>
  <c r="G26" i="9"/>
  <c r="H26" i="9" l="1"/>
  <c r="K26" i="9" l="1"/>
  <c r="L26" i="9" s="1"/>
  <c r="I26" i="9"/>
  <c r="O26" i="9" l="1"/>
  <c r="M26" i="9"/>
  <c r="D25" i="9" s="1"/>
  <c r="E25" i="9" l="1"/>
  <c r="Q25" i="9"/>
  <c r="F25" i="9"/>
  <c r="J25" i="9"/>
  <c r="G25" i="9"/>
  <c r="H25" i="9" l="1"/>
  <c r="K25" i="9" l="1"/>
  <c r="L25" i="9" s="1"/>
  <c r="I25" i="9"/>
  <c r="O25" i="9" l="1"/>
  <c r="M25" i="9"/>
  <c r="D24" i="9" s="1"/>
  <c r="E24" i="9" l="1"/>
  <c r="F24" i="9"/>
  <c r="J24" i="9"/>
  <c r="Q24" i="9"/>
  <c r="G24" i="9"/>
  <c r="H24" i="9" l="1"/>
  <c r="K24" i="9" l="1"/>
  <c r="L24" i="9" s="1"/>
  <c r="I24" i="9"/>
  <c r="O24" i="9" l="1"/>
  <c r="M24" i="9"/>
  <c r="D23" i="9" s="1"/>
  <c r="E23" i="9" l="1"/>
  <c r="Q23" i="9"/>
  <c r="F23" i="9"/>
  <c r="J23" i="9"/>
  <c r="G23" i="9"/>
  <c r="H23" i="9" l="1"/>
  <c r="K23" i="9" l="1"/>
  <c r="L23" i="9" s="1"/>
  <c r="I23" i="9"/>
  <c r="O23" i="9" l="1"/>
  <c r="M23" i="9"/>
  <c r="D22" i="9" s="1"/>
  <c r="E22" i="9" l="1"/>
  <c r="V6" i="9"/>
  <c r="J22" i="9"/>
  <c r="F22" i="9"/>
  <c r="Q22" i="9"/>
  <c r="G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<sst xmlns="http://schemas.openxmlformats.org/spreadsheetml/2006/main" count="511" uniqueCount="249">
  <si>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</si>
  <si>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</si>
  <si>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</si>
  <si>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</si>
  <si>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</si>
  <si>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</si>
  <si>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</si>
  <si>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</si>
  <si>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</si>
  <si>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</si>
  <si>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</si>
  <si>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</si>
  <si>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</si>
  <si>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</si>
  <si>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</si>
  <si>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</si>
  <si>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</si>
  <si>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</si>
  <si>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</si>
  <si>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</si>
  <si>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</si>
  <si>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</si>
  <si>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</si>
  <si>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</si>
  <si>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</si>
  <si>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</si>
  <si>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</si>
  <si>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</si>
  <si>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</si>
  <si>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</si>
  <si>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</si>
  <si>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</si>
  <si>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</si>
  <si>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</si>
  <si>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</si>
  <si>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</si>
  <si>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</si>
  <si>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</si>
  <si>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</si>
  <si>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</si>
  <si>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</si>
  <si>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</si>
  <si>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</si>
  <si>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</si>
  <si>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</si>
  <si>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</si>
  <si>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</si>
  <si>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</si>
  <si>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</si>
  <si>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</si>
  <si>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</si>
  <si>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</si>
  <si>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</si>
  <si>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</si>
  <si>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</si>
  <si>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</si>
  <si>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</si>
  <si>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</si>
  <si>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</si>
  <si>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</si>
  <si>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</si>
  <si>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</si>
  <si>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</si>
  <si>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</si>
  <si>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</si>
  <si>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</si>
  <si>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</si>
  <si>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</si>
  <si>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</si>
  <si>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</si>
  <si>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</si>
  <si>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kPaa</t>
  </si>
  <si>
    <t>H</t>
  </si>
  <si>
    <t>Tin</t>
  </si>
  <si>
    <t>Hin</t>
  </si>
  <si>
    <t>mass flow</t>
  </si>
  <si>
    <t>kg/h</t>
  </si>
  <si>
    <t>Tube ID</t>
  </si>
  <si>
    <t>m2</t>
  </si>
  <si>
    <t>area</t>
  </si>
  <si>
    <t>Hout</t>
  </si>
  <si>
    <t>kJ/kg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</si>
  <si>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</si>
  <si>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</si>
  <si>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</si>
  <si>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</si>
  <si>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</si>
  <si>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</si>
  <si>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</si>
  <si>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</si>
  <si>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</si>
  <si>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</si>
  <si>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</si>
  <si>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</si>
  <si>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</si>
  <si>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</si>
  <si>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</si>
  <si>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</si>
  <si>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</si>
  <si>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</si>
  <si>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</si>
  <si>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</si>
  <si>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</si>
  <si>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</si>
  <si>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</si>
  <si>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</si>
  <si>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</si>
  <si>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</si>
  <si>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</si>
  <si>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</si>
  <si>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</si>
  <si>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</si>
  <si>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</si>
  <si>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</si>
  <si>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</si>
  <si>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</si>
  <si>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</si>
  <si>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</si>
  <si>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</si>
  <si>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</si>
  <si>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</si>
  <si>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</si>
  <si>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</si>
  <si>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</si>
  <si>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</si>
  <si>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</si>
  <si>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</si>
  <si>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</si>
  <si>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</si>
  <si>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</si>
  <si>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</si>
  <si>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</si>
  <si>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</si>
  <si>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</si>
  <si>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</si>
  <si>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</si>
  <si>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</si>
  <si>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</si>
  <si>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</si>
  <si>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</si>
  <si>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</si>
  <si>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</si>
  <si>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</si>
  <si>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</si>
  <si>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</si>
  <si>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</si>
  <si>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</si>
  <si>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</si>
  <si>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</si>
  <si>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</si>
  <si>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1/K</t>
  </si>
  <si>
    <t>P kPa</t>
  </si>
  <si>
    <t>ln P</t>
  </si>
  <si>
    <t>Z is a quadratic in T</t>
  </si>
  <si>
    <t>T^n</t>
  </si>
  <si>
    <t>Z^m</t>
  </si>
  <si>
    <t xml:space="preserve">Linear Interp with  </t>
  </si>
  <si>
    <t>1/V</t>
  </si>
  <si>
    <t>dx</t>
  </si>
  <si>
    <t>err</t>
  </si>
  <si>
    <t>This is second order accurate</t>
  </si>
  <si>
    <t>Interolate Z</t>
  </si>
  <si>
    <t>z err</t>
  </si>
  <si>
    <t>Also second order</t>
  </si>
  <si>
    <t>Interolate ln P</t>
  </si>
  <si>
    <t>secon order</t>
  </si>
  <si>
    <t>PV = ZRT</t>
  </si>
  <si>
    <t>V/T = ZT/P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</si>
  <si>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</si>
  <si>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</si>
  <si>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</si>
  <si>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</si>
  <si>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</si>
  <si>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</si>
  <si>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</si>
  <si>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</si>
  <si>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</si>
  <si>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</si>
  <si>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</si>
  <si>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</si>
  <si>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</si>
  <si>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</si>
  <si>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</si>
  <si>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</si>
  <si>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</si>
  <si>
    <t>I need the outlet effic at a single point and a coeff for the slope.</t>
  </si>
  <si>
    <t>DH</t>
  </si>
  <si>
    <t>a</t>
  </si>
  <si>
    <t>b</t>
  </si>
  <si>
    <t>A simple linear equation relating Hout to Hin should be adquate.</t>
  </si>
  <si>
    <t>I need to change a spec to include a lnear equation.</t>
  </si>
  <si>
    <t>Is there an optimum pressure for steam supply?</t>
  </si>
  <si>
    <t>LP stage</t>
  </si>
  <si>
    <t>tot DH</t>
  </si>
  <si>
    <t>make steam at the highest pressure possible to achieve the desired quality on the exhaust.</t>
  </si>
  <si>
    <t>More efficient turbine means we need to make steam at a lower pressue to avoid washing out the turbine blades.</t>
  </si>
  <si>
    <t>feedwater T</t>
  </si>
  <si>
    <t>basis kJ</t>
  </si>
  <si>
    <t>dH furn</t>
  </si>
  <si>
    <t>kg furnace</t>
  </si>
  <si>
    <t>kJ useful</t>
  </si>
  <si>
    <t>We want to compress steam. Objective is to determine the correct implementaiton of k=Cp/Cv</t>
  </si>
  <si>
    <t>Suction P</t>
  </si>
  <si>
    <t>Sat T</t>
  </si>
  <si>
    <t>Discharge P</t>
  </si>
  <si>
    <t>entropy</t>
  </si>
  <si>
    <t>enthalpy</t>
  </si>
  <si>
    <t>Cp/Cv</t>
  </si>
  <si>
    <t>isentropic ratio</t>
  </si>
  <si>
    <t>density</t>
  </si>
  <si>
    <t>IG_density</t>
  </si>
  <si>
    <t>MW</t>
  </si>
  <si>
    <t>outlet T</t>
  </si>
  <si>
    <t>Ideal Gas, Centrifugal Compressor Tool</t>
  </si>
  <si>
    <t>This will be an estimate of the real gas power</t>
  </si>
  <si>
    <t>Client</t>
  </si>
  <si>
    <t>Project</t>
  </si>
  <si>
    <t>Calc #</t>
  </si>
  <si>
    <t>By</t>
  </si>
  <si>
    <t>Date</t>
  </si>
  <si>
    <t>The incompressible Head calculation is approximate, and should be withing 30-40% of the compressible</t>
  </si>
  <si>
    <t>This sheet can also be used to calculate what the maximum discharge pressure would be given that the compressor dead heads (blocked flow)</t>
  </si>
  <si>
    <t>Tag</t>
  </si>
  <si>
    <t>K-123</t>
  </si>
  <si>
    <t>Suction Pressure, kPa</t>
  </si>
  <si>
    <t>Discharge Pressure, kPa</t>
  </si>
  <si>
    <t>Maximum Compressible Head, Nm/kg</t>
  </si>
  <si>
    <t>Mass Flow, kg/hr</t>
  </si>
  <si>
    <t>Suction Temperature, C</t>
  </si>
  <si>
    <t>Est Discharge C</t>
  </si>
  <si>
    <t>Suction Temperature, K</t>
  </si>
  <si>
    <t>Suction Z</t>
  </si>
  <si>
    <t>Discharge Z</t>
  </si>
  <si>
    <t>avg Z</t>
  </si>
  <si>
    <t>Suction Density, kg/m3</t>
  </si>
  <si>
    <t>Actual Volumetric Flow, m3/hr</t>
  </si>
  <si>
    <t>real gas exponent Cp/Cv</t>
  </si>
  <si>
    <t>Polytropic Exponent, n</t>
  </si>
  <si>
    <t>Molecular Weight</t>
  </si>
  <si>
    <t>Discharge Temperature, K</t>
  </si>
  <si>
    <r>
      <t>Average Density, kg/m</t>
    </r>
    <r>
      <rPr>
        <vertAlign val="superscript"/>
        <sz val="10"/>
        <rFont val="Arial"/>
        <family val="2"/>
      </rPr>
      <t>3</t>
    </r>
  </si>
  <si>
    <t>Actual Volumetric Flow, CFM</t>
  </si>
  <si>
    <t>Compressible Head, m</t>
  </si>
  <si>
    <r>
      <t>Pressure ratio, r</t>
    </r>
    <r>
      <rPr>
        <vertAlign val="subscript"/>
        <sz val="10"/>
        <rFont val="Arial"/>
        <family val="2"/>
      </rPr>
      <t>P</t>
    </r>
  </si>
  <si>
    <t xml:space="preserve"> Compressible Head, Nm/kg</t>
  </si>
  <si>
    <t>Compressor Work, kW</t>
  </si>
  <si>
    <t>Polytropic Efficiency</t>
  </si>
  <si>
    <t>Adiabatic Efficiency</t>
  </si>
  <si>
    <t>I need to use the isentropic ratio, not the ideal gas Cp/Cv or real gas Cp/Cv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</si>
</sst>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3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  <xf numFmtId="0" fontId="1" fillId="0" borderId="1" xfId="0" applyFont="1" applyBorder="1" applyAlignment="1">
      <alignment horizontal="left"/>
    </xf>
    <xf numFmtId="0" fontId="0" fillId="4" borderId="1" xfId="0" applyFill="1" applyBorder="1" applyAlignment="1">
      <alignment horizontal="center"/>
    </xf>
    <xf numFmtId="15" fontId="0" fillId="4" borderId="1" xfId="0" applyNumberForma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4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11" fontId="0" fillId="4" borderId="1" xfId="0" applyNumberFormat="1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/>
    </xf>
    <xf numFmtId="0" fontId="3" fillId="0" borderId="1" xfId="0" applyFont="1" applyBorder="1" applyAlignment="1">
      <alignment horizontal="right"/>
    </xf>
    <xf numFmtId="11" fontId="0" fillId="0" borderId="1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11" fontId="0" fillId="0" borderId="1" xfId="0" applyNumberFormat="1" applyBorder="1"/>
    <xf numFmtId="0" fontId="3" fillId="4" borderId="1" xfId="0" applyFont="1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164" fontId="0" fillId="0" borderId="1" xfId="0" applyNumberFormat="1" applyBorder="1"/>
    <xf numFmtId="1" fontId="0" fillId="0" borderId="1" xfId="0" applyNumberFormat="1" applyBorder="1" applyAlignment="1">
      <alignment horizontal="right"/>
    </xf>
    <xf numFmtId="166" fontId="0" fillId="0" borderId="1" xfId="0" applyNumberForma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1" xfId="0" applyNumberFormat="1" applyBorder="1" applyAlignment="1">
      <alignment horizontal="right"/>
    </xf>
    <xf numFmtId="0" fontId="0" fillId="7" borderId="1" xfId="0" applyFill="1" applyBorder="1" applyAlignment="1">
      <alignment horizontal="right"/>
    </xf>
    <xf numFmtId="1" fontId="0" fillId="7" borderId="1" xfId="0" applyNumberFormat="1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9" fontId="0" fillId="8" borderId="1" xfId="1" applyFont="1" applyFill="1" applyBorder="1" applyAlignment="1">
      <alignment horizontal="right"/>
    </xf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sheetMetadata" Target="metadata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3-5F4E-819B-17BFF3CB8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576416"/>
        <c:axId val="-1723571760"/>
      </c:scatterChart>
      <c:valAx>
        <c:axId val="-1723576416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1760"/>
        <c:crosses val="autoZero"/>
        <c:crossBetween val="midCat"/>
      </c:valAx>
      <c:valAx>
        <c:axId val="-1723571760"/>
        <c:scaling>
          <c:orientation val="minMax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Water'!$AM$21:$AM$32</c:f>
              <c:numCache>
                <c:formatCode>General</c:formatCode>
                <c:ptCount val="12"/>
                <c:pt idx="0">
                  <c:v>0.30637980480900956</c:v>
                </c:pt>
                <c:pt idx="1">
                  <c:v>0.32618946917540775</c:v>
                </c:pt>
                <c:pt idx="2">
                  <c:v>0.34620178959485409</c:v>
                </c:pt>
                <c:pt idx="3">
                  <c:v>0.36640887336536071</c:v>
                </c:pt>
                <c:pt idx="4">
                  <c:v>0.38680348756906052</c:v>
                </c:pt>
                <c:pt idx="5">
                  <c:v>0.40737897705489606</c:v>
                </c:pt>
                <c:pt idx="6">
                  <c:v>0.42812919567428004</c:v>
                </c:pt>
                <c:pt idx="7">
                  <c:v>0.44904844817420136</c:v>
                </c:pt>
                <c:pt idx="8">
                  <c:v>0.47013144074256141</c:v>
                </c:pt>
                <c:pt idx="9">
                  <c:v>0.49137323863932458</c:v>
                </c:pt>
                <c:pt idx="10">
                  <c:v>0.51276922967736382</c:v>
                </c:pt>
                <c:pt idx="11">
                  <c:v>0.53431509256836496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9-1643-AB79-B66C9E24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414720"/>
        <c:axId val="-1723410160"/>
      </c:scatterChart>
      <c:valAx>
        <c:axId val="-17234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0160"/>
        <c:crosses val="autoZero"/>
        <c:crossBetween val="midCat"/>
      </c:valAx>
      <c:valAx>
        <c:axId val="-17234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'Saturated Water'!$AL$20</c:f>
              <c:strCache>
                <c:ptCount val="1"/>
                <c:pt idx="0">
                  <c:v>1/V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Water'!$AL$21:$AL$32</c:f>
              <c:numCache>
                <c:formatCode>General</c:formatCode>
                <c:ptCount val="12"/>
                <c:pt idx="0">
                  <c:v>0.59813599252570304</c:v>
                </c:pt>
                <c:pt idx="1">
                  <c:v>1.1219517174818006</c:v>
                </c:pt>
                <c:pt idx="2">
                  <c:v>1.9664941863081919</c:v>
                </c:pt>
                <c:pt idx="3">
                  <c:v>3.259256437288756</c:v>
                </c:pt>
                <c:pt idx="4">
                  <c:v>5.1583189926911004</c:v>
                </c:pt>
                <c:pt idx="5">
                  <c:v>7.8602558814044983</c:v>
                </c:pt>
                <c:pt idx="6">
                  <c:v>11.614304679217216</c:v>
                </c:pt>
                <c:pt idx="7">
                  <c:v>16.747578872158211</c:v>
                </c:pt>
                <c:pt idx="8">
                  <c:v>23.710455407296024</c:v>
                </c:pt>
                <c:pt idx="9">
                  <c:v>33.163134527648452</c:v>
                </c:pt>
                <c:pt idx="10">
                  <c:v>46.161520159037551</c:v>
                </c:pt>
                <c:pt idx="11">
                  <c:v>64.616484752065887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6-BB42-BDCA-A0B12E6DE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9821072"/>
        <c:axId val="-1768585504"/>
      </c:scatterChart>
      <c:valAx>
        <c:axId val="-16698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8585504"/>
        <c:crosses val="autoZero"/>
        <c:crossBetween val="midCat"/>
      </c:valAx>
      <c:valAx>
        <c:axId val="-1768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82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Water'!$AV$28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Water'!$AW$28:$AZ$28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F-0F4C-916A-3ACD87099D00}"/>
            </c:ext>
          </c:extLst>
        </c:ser>
        <c:ser>
          <c:idx val="1"/>
          <c:order val="1"/>
          <c:tx>
            <c:strRef>
              <c:f>'Saturated Water'!$AV$29</c:f>
              <c:strCache>
                <c:ptCount val="1"/>
                <c:pt idx="0">
                  <c:v>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215085908617801"/>
                  <c:y val="0.1081432515322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Water'!$AW$29:$AZ$29</c:f>
              <c:numCache>
                <c:formatCode>General</c:formatCode>
                <c:ptCount val="4"/>
                <c:pt idx="0">
                  <c:v>0.10028775820029041</c:v>
                </c:pt>
                <c:pt idx="1">
                  <c:v>0.44050417718726453</c:v>
                </c:pt>
                <c:pt idx="2">
                  <c:v>1.1643004747671868</c:v>
                </c:pt>
                <c:pt idx="3">
                  <c:v>2.6214475069335719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AF-0F4C-916A-3ACD87099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4525440"/>
        <c:axId val="-1711957280"/>
      </c:scatterChart>
      <c:valAx>
        <c:axId val="-171452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957280"/>
        <c:crosses val="autoZero"/>
        <c:crossBetween val="midCat"/>
      </c:valAx>
      <c:valAx>
        <c:axId val="-17119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45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  <c:pt idx="0">
                  <c:v>2.6117794886750959E-3</c:v>
                </c:pt>
                <c:pt idx="1">
                  <c:v>1.0503398764952012E-2</c:v>
                </c:pt>
                <c:pt idx="2">
                  <c:v>2.3840646657392075E-2</c:v>
                </c:pt>
                <c:pt idx="3">
                  <c:v>4.2914992403082705E-2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Water'!$BI$28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Water'!$BJ$28:$BM$28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744F-9103-A2B135FB13F4}"/>
            </c:ext>
          </c:extLst>
        </c:ser>
        <c:ser>
          <c:idx val="1"/>
          <c:order val="1"/>
          <c:tx>
            <c:strRef>
              <c:f>'Saturated Water'!$BI$29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751509186351701"/>
                  <c:y val="0.1014351851851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Water'!$BJ$29:$BM$29</c:f>
              <c:numCache>
                <c:formatCode>General</c:formatCode>
                <c:ptCount val="4"/>
                <c:pt idx="0">
                  <c:v>2.6287712123724263E-3</c:v>
                </c:pt>
                <c:pt idx="1">
                  <c:v>1.0587140982569371E-2</c:v>
                </c:pt>
                <c:pt idx="2">
                  <c:v>2.409474491802881E-2</c:v>
                </c:pt>
                <c:pt idx="3">
                  <c:v>4.3529331598183695E-2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42-744F-9103-A2B135FB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3354736"/>
        <c:axId val="-1667475760"/>
      </c:scatterChart>
      <c:valAx>
        <c:axId val="-17133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7475760"/>
        <c:crosses val="autoZero"/>
        <c:crossBetween val="midCat"/>
      </c:valAx>
      <c:valAx>
        <c:axId val="-16674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33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7"/>
          <c:order val="1"/>
          <c:tx>
            <c:strRef>
              <c:f>'Saturated Water'!$K$20</c:f>
              <c:strCache>
                <c:ptCount val="1"/>
                <c:pt idx="0">
                  <c:v>Vapour enthalpy, kJ/kg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Water'!$K$21:$K$32</c:f>
              <c:numCache>
                <c:formatCode>0.00</c:formatCode>
                <c:ptCount val="12"/>
                <c:pt idx="0">
                  <c:v>2675.5720292208343</c:v>
                </c:pt>
                <c:pt idx="1">
                  <c:v>2705.9342474169589</c:v>
                </c:pt>
                <c:pt idx="2">
                  <c:v>2733.4439437081137</c:v>
                </c:pt>
                <c:pt idx="3">
                  <c:v>2757.43053096934</c:v>
                </c:pt>
                <c:pt idx="4">
                  <c:v>2777.2194106819393</c:v>
                </c:pt>
                <c:pt idx="5">
                  <c:v>2792.0615640122796</c:v>
                </c:pt>
                <c:pt idx="6">
                  <c:v>2801.0510003989552</c:v>
                </c:pt>
                <c:pt idx="7">
                  <c:v>2803.0599721381495</c:v>
                </c:pt>
                <c:pt idx="8">
                  <c:v>2796.6436363950711</c:v>
                </c:pt>
                <c:pt idx="9">
                  <c:v>2779.8244623368587</c:v>
                </c:pt>
                <c:pt idx="10">
                  <c:v>2749.5737425439734</c:v>
                </c:pt>
                <c:pt idx="11">
                  <c:v>2700.6676873413294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584399"/>
        <c:axId val="1982586079"/>
      </c:scatterChart>
      <c:scatterChart>
        <c:scatterStyle val="lineMarker"/>
        <c:varyColors val="0"/>
        <c:ser>
          <c:idx val="1"/>
          <c:order val="0"/>
          <c:tx>
            <c:strRef>
              <c:f>'Saturated Water'!$E$20</c:f>
              <c:strCache>
                <c:ptCount val="1"/>
                <c:pt idx="0">
                  <c:v>T, K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Water'!$E$21:$E$32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347791"/>
        <c:axId val="1984083263"/>
      </c:scatterChart>
      <c:valAx>
        <c:axId val="198258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6079"/>
        <c:crosses val="autoZero"/>
        <c:crossBetween val="midCat"/>
      </c:valAx>
      <c:valAx>
        <c:axId val="19825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4399"/>
        <c:crosses val="autoZero"/>
        <c:crossBetween val="midCat"/>
      </c:valAx>
      <c:valAx>
        <c:axId val="1984083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347791"/>
        <c:crosses val="max"/>
        <c:crossBetween val="midCat"/>
      </c:valAx>
      <c:valAx>
        <c:axId val="19843477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840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'Compressor calcs'!$G$81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'Compressor calcs'!$H$80:$Q$80</c:f>
              <c:numCache>
                <c:formatCode>General</c:formatCode>
                <c:ptCount val="10"/>
              </c:numCache>
            </c:numRef>
          </c:xVal>
          <c:yVal>
            <c:numRef>
              <c:f>'Compressor calcs'!$H$81:$Q$81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'Compressor calcs'!$G$85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'Compressor calcs'!$H$84:$Q$84</c:f>
              <c:numCache>
                <c:formatCode>General</c:formatCode>
                <c:ptCount val="10"/>
              </c:numCache>
            </c:numRef>
          </c:xVal>
          <c:yVal>
            <c:numRef>
              <c:f>'Compressor calcs'!$H$85:$Q$85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'Compressor calcs'!$G$89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'Compressor calcs'!$H$88:$Q$88</c:f>
              <c:numCache>
                <c:formatCode>General</c:formatCode>
                <c:ptCount val="10"/>
              </c:numCache>
            </c:numRef>
          </c:xVal>
          <c:yVal>
            <c:numRef>
              <c:f>'Compressor calcs'!$H$89:$Q$89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839932012903675"/>
                  <c:y val="0.14373158756137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3050.1150854583907</c:v>
                </c:pt>
                <c:pt idx="1">
                  <c:v>3007.4042303026663</c:v>
                </c:pt>
                <c:pt idx="2">
                  <c:v>2963.4758002863832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0"/>
          <c:order val="1"/>
          <c:tx>
            <c:strRef>
              <c:f>'Turbine Calcs'!$M$3</c:f>
              <c:strCache>
                <c:ptCount val="1"/>
                <c:pt idx="0">
                  <c:v>DH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03905789309376"/>
                  <c:y val="0.444456873332731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Calcs'!$M$4:$M$6</c:f>
              <c:numCache>
                <c:formatCode>General</c:formatCode>
                <c:ptCount val="3"/>
                <c:pt idx="0">
                  <c:v>160.75016111655123</c:v>
                </c:pt>
                <c:pt idx="1">
                  <c:v>155.39726592567331</c:v>
                </c:pt>
                <c:pt idx="2">
                  <c:v>150.21682253003246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7-D347-A613-B22C204D0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59440"/>
        <c:axId val="1341227280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134122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59440"/>
        <c:crosses val="max"/>
        <c:crossBetween val="midCat"/>
      </c:valAx>
      <c:valAx>
        <c:axId val="134115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22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1188571</xdr:colOff>
      <xdr:row>12</xdr:row>
      <xdr:rowOff>61631</xdr:rowOff>
    </xdr:from>
    <xdr:to>
      <xdr:col>26</xdr:col>
      <xdr:colOff>732118</xdr:colOff>
      <xdr:row>42</xdr:row>
      <xdr:rowOff>119528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313766</xdr:colOff>
      <xdr:row>1</xdr:row>
      <xdr:rowOff>100108</xdr:rowOff>
    </xdr:from>
    <xdr:to>
      <xdr:col>38</xdr:col>
      <xdr:colOff>179295</xdr:colOff>
      <xdr:row>18</xdr:row>
      <xdr:rowOff>49308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373530</xdr:colOff>
      <xdr:row>1</xdr:row>
      <xdr:rowOff>144929</xdr:rowOff>
    </xdr:from>
    <xdr:to>
      <xdr:col>44</xdr:col>
      <xdr:colOff>433295</xdr:colOff>
      <xdr:row>18</xdr:row>
      <xdr:rowOff>94129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418354</xdr:colOff>
      <xdr:row>39</xdr:row>
      <xdr:rowOff>100105</xdr:rowOff>
    </xdr:from>
    <xdr:to>
      <xdr:col>43</xdr:col>
      <xdr:colOff>627530</xdr:colOff>
      <xdr:row>62</xdr:row>
      <xdr:rowOff>29882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58</xdr:col>
      <xdr:colOff>291353</xdr:colOff>
      <xdr:row>4</xdr:row>
      <xdr:rowOff>40341</xdr:rowOff>
    </xdr:from>
    <xdr:to>
      <xdr:col>65</xdr:col>
      <xdr:colOff>156883</xdr:colOff>
      <xdr:row>19</xdr:row>
      <xdr:rowOff>318247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</xdr:row>
      <xdr:rowOff>44450</xdr:rowOff>
    </xdr:from>
    <xdr:to>
      <xdr:col>17</xdr:col>
      <xdr:colOff>800100</xdr:colOff>
      <xdr:row>34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AF4678-A790-7443-91C5-ED04CD3BE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92</xdr:row>
      <xdr:rowOff>95250</xdr:rowOff>
    </xdr:from>
    <xdr:to>
      <xdr:col>13</xdr:col>
      <xdr:colOff>673100</xdr:colOff>
      <xdr:row>123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108</xdr:row>
      <xdr:rowOff>63500</xdr:rowOff>
    </xdr:from>
    <xdr:to>
      <xdr:col>11</xdr:col>
      <xdr:colOff>50800</xdr:colOff>
      <xdr:row>115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463550</xdr:colOff>
      <xdr:row>22</xdr:row>
      <xdr:rowOff>133350</xdr:rowOff>
    </xdr:from>
    <xdr:to>
      <xdr:col>18</xdr:col>
      <xdr:colOff>241300</xdr:colOff>
      <xdr:row>46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177800</xdr:colOff>
      <xdr:row>14</xdr:row>
      <xdr:rowOff>31750</xdr:rowOff>
    </xdr:from>
    <xdr:to>
      <xdr:col>16</xdr:col>
      <xdr:colOff>431800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opLeftCell="C2" zoomScaleNormal="100" workbookViewId="0">
      <pane xSplit="4820" activePane="topRight"/>
      <selection activeCell="E24" sqref="A24:XFD35"/>
      <selection pane="topRight" activeCell="D28" sqref="D28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40">
      <c r="B1" s="17" t="s">
        <v>49</v>
      </c>
      <c r="C1" s="17"/>
    </row>
    <row r="2" spans="2:40">
      <c r="B2" s="55" t="s">
        <v>149</v>
      </c>
      <c r="C2" s="37"/>
    </row>
    <row r="3" spans="2:40">
      <c r="B3" s="1" t="s">
        <v>63</v>
      </c>
      <c r="C3" s="1"/>
      <c r="D3">
        <v>1</v>
      </c>
    </row>
    <row r="4" spans="2:40">
      <c r="B4" s="1"/>
      <c r="C4" s="1"/>
    </row>
    <row r="5" spans="2:40">
      <c r="B5" s="17" t="s">
        <v>0</v>
      </c>
      <c r="C5" s="17"/>
      <c r="F5" s="17" t="s">
        <v>51</v>
      </c>
    </row>
    <row r="6" spans="2:40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40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40">
      <c r="B8" t="s">
        <v>52</v>
      </c>
      <c r="D8" t="s">
        <v>5</v>
      </c>
    </row>
    <row r="10" spans="2:40">
      <c r="B10" s="17" t="s">
        <v>29</v>
      </c>
      <c r="C10" s="17"/>
      <c r="F10" s="17" t="s">
        <v>30</v>
      </c>
    </row>
    <row r="11" spans="2:40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40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40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40">
      <c r="B14" t="s">
        <v>19</v>
      </c>
      <c r="D14">
        <v>322</v>
      </c>
    </row>
    <row r="16" spans="2:40">
      <c r="B16" s="31" t="s">
        <v>48</v>
      </c>
      <c r="C16" s="31"/>
      <c r="D16" s="31"/>
      <c r="E16" s="31"/>
      <c r="AM16">
        <v>1.2</v>
      </c>
      <c r="AN16">
        <v>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B20" s="2" t="s">
        <v>15</v>
      </c>
      <c r="AC20" s="2" t="s">
        <v>8</v>
      </c>
      <c r="AD20" s="2" t="s">
        <v>150</v>
      </c>
      <c r="AE20" s="2" t="s">
        <v>151</v>
      </c>
      <c r="AF20" s="2" t="s">
        <v>152</v>
      </c>
      <c r="AG20" s="2" t="s">
        <v>14</v>
      </c>
      <c r="AH20" s="2" t="s">
        <v>157</v>
      </c>
      <c r="AJ20" s="2" t="s">
        <v>2</v>
      </c>
      <c r="AK20" s="2" t="s">
        <v>14</v>
      </c>
      <c r="AL20" s="2" t="s">
        <v>157</v>
      </c>
      <c r="AM20" s="2" t="s">
        <v>154</v>
      </c>
      <c r="AN20" s="2" t="s">
        <v>155</v>
      </c>
      <c r="AP20" s="2">
        <f t="array" ref="AP20:AT28">LINEST(AN21:AN32,AM21:AM32,TRUE,TRUE)</f>
        <v>-3.5413997956709191</v>
      </c>
      <c r="AQ20" s="2">
        <v>2.0827891027322583</v>
      </c>
      <c r="AR20" s="2" t="e">
        <v>#N/A</v>
      </c>
      <c r="AS20" s="2" t="e">
        <v>#N/A</v>
      </c>
      <c r="AT20" s="2" t="e">
        <v>#N/A</v>
      </c>
      <c r="AW20" s="2" t="s">
        <v>156</v>
      </c>
      <c r="BC20" s="2" t="s">
        <v>161</v>
      </c>
      <c r="BJ20" s="2" t="s">
        <v>164</v>
      </c>
      <c r="BK20" s="2" t="s">
        <v>165</v>
      </c>
    </row>
    <row r="21" spans="1:65">
      <c r="A21" s="38"/>
      <c r="B21" s="42">
        <v>100</v>
      </c>
      <c r="C21" s="48">
        <f>D21*100-$D$17</f>
        <v>5.4179779213101256</v>
      </c>
      <c r="D21" s="12">
        <f t="shared" ref="D21:D22" si="0">pSatW(E21)</f>
        <v>1.0141797792131013</v>
      </c>
      <c r="E21" s="11">
        <f t="shared" ref="E21:E22" si="1">B21+$G$13</f>
        <v>373.15</v>
      </c>
      <c r="F21" s="13">
        <f t="shared" ref="F21:F22" si="2">denssatliqTW(E21)</f>
        <v>958.35427728588991</v>
      </c>
      <c r="G21" s="14">
        <f t="shared" ref="G21:G22" si="3">denssatvapTW(E21)</f>
        <v>0.59813599252570304</v>
      </c>
      <c r="H21" s="15">
        <f t="shared" ref="H21:H22" si="4">D21*100*$G$11/($G$12*E21)/G21</f>
        <v>0.98454453701275513</v>
      </c>
      <c r="I21" s="13">
        <f t="shared" ref="I21:I32" si="5">enthalpysatliqTW($E21)</f>
        <v>419.09915499770312</v>
      </c>
      <c r="J21" s="13">
        <f t="shared" ref="J21:J22" si="6">K21-I21</f>
        <v>2256.4728742231314</v>
      </c>
      <c r="K21" s="13">
        <f t="shared" ref="K21:K32" si="7">enthalpysatvapTW($E21)</f>
        <v>2675.5720292208343</v>
      </c>
      <c r="L21" s="11">
        <f t="shared" ref="L21:L32" si="8">entropysatliqTW($E21)</f>
        <v>1.3070143278413395</v>
      </c>
      <c r="M21" s="14">
        <f t="shared" ref="M21:M32" si="9">entropysatvapTW($E21)</f>
        <v>7.3540770509584057</v>
      </c>
      <c r="N21" s="15">
        <f t="shared" ref="N21:N32" si="10">cpsatliqTW($E21)</f>
        <v>4.2166451189235854</v>
      </c>
      <c r="O21" s="15">
        <f t="shared" ref="O21:O32" si="11">cpsatvapTW($E21)</f>
        <v>2.0774918684822659</v>
      </c>
      <c r="P21" s="15">
        <f t="shared" ref="P21:P32" si="12">cvsatliqTW($E21)</f>
        <v>3.7677002201427512</v>
      </c>
      <c r="Q21" s="15">
        <f t="shared" ref="Q21:Q32" si="13">cvsatvapTW($E21)</f>
        <v>1.5536986960345105</v>
      </c>
      <c r="R21" s="15">
        <f t="shared" ref="R21:R22" si="14">isentropic_coeffsatvaptW(E21)</f>
        <v>1.3153455644817036</v>
      </c>
      <c r="S21" s="15">
        <f t="shared" ref="S21:S22" si="15">spsoundSatLiqTW(E21)</f>
        <v>1545.0922491938707</v>
      </c>
      <c r="T21" s="15">
        <f t="shared" ref="T21:T22" si="16">spsoundSatVapTW(E21)</f>
        <v>472.2559492389438</v>
      </c>
      <c r="U21" s="11">
        <f t="shared" ref="U21:U32" si="17">viscsatliqTW($E21)</f>
        <v>2.8174528145290067E-4</v>
      </c>
      <c r="V21" s="16">
        <f t="shared" ref="V21:V32" si="18">viscsatvapTW($E21)</f>
        <v>1.226922918387594E-5</v>
      </c>
      <c r="W21" s="15">
        <f t="shared" ref="W21:W32" si="19">thconsatliqTW($E21)</f>
        <v>0.67909813753563253</v>
      </c>
      <c r="X21" s="14">
        <f t="shared" ref="X21:X32" si="20">thconsatvapTW($E21)</f>
        <v>2.5096236521560497E-2</v>
      </c>
      <c r="Y21" s="36">
        <f t="shared" ref="Y21:Y22" si="21">watSurfTens(E21)</f>
        <v>58.911201750271488</v>
      </c>
      <c r="AB21" s="66">
        <f>B21</f>
        <v>100</v>
      </c>
      <c r="AC21">
        <f>E21</f>
        <v>373.15</v>
      </c>
      <c r="AD21">
        <f>1/AC21</f>
        <v>2.6798874447273215E-3</v>
      </c>
      <c r="AE21" s="67">
        <f>D21*100</f>
        <v>101.41797792131013</v>
      </c>
      <c r="AF21">
        <f>LN(AE21)</f>
        <v>4.6192503724961584</v>
      </c>
      <c r="AG21" s="68">
        <f>H21</f>
        <v>0.98454453701275513</v>
      </c>
      <c r="AH21">
        <f>1/G21</f>
        <v>1.6718606010940364</v>
      </c>
      <c r="AJ21">
        <f t="shared" ref="AJ21:AJ32" si="22">AC21</f>
        <v>373.15</v>
      </c>
      <c r="AK21" s="68">
        <f>AG21</f>
        <v>0.98454453701275513</v>
      </c>
      <c r="AL21">
        <f>1/AH21</f>
        <v>0.59813599252570304</v>
      </c>
      <c r="AM21">
        <f t="shared" ref="AM21:AM32" si="23">(AJ21/1000)^AM$16</f>
        <v>0.30637980480900956</v>
      </c>
      <c r="AN21">
        <f>(AK21/1)^AN$16</f>
        <v>0.93959666565905797</v>
      </c>
      <c r="AP21">
        <v>0.11981716016057817</v>
      </c>
      <c r="AQ21">
        <v>5.0902191703444233E-2</v>
      </c>
      <c r="AR21" t="e">
        <v>#N/A</v>
      </c>
      <c r="AS21" t="e">
        <v>#N/A</v>
      </c>
      <c r="AT21" t="e">
        <v>#N/A</v>
      </c>
    </row>
    <row r="22" spans="1:65">
      <c r="A22" s="71"/>
      <c r="B22" s="42">
        <f>B21+20</f>
        <v>120</v>
      </c>
      <c r="C22" s="48">
        <f t="shared" ref="C22" si="24">D22*100-$D$17</f>
        <v>102.66539973930202</v>
      </c>
      <c r="D22" s="12">
        <f t="shared" si="0"/>
        <v>1.9866539973930202</v>
      </c>
      <c r="E22" s="11">
        <f t="shared" si="1"/>
        <v>393.15</v>
      </c>
      <c r="F22" s="13">
        <f t="shared" si="2"/>
        <v>943.10567745835397</v>
      </c>
      <c r="G22" s="14">
        <f t="shared" si="3"/>
        <v>1.1219517174818006</v>
      </c>
      <c r="H22" s="15">
        <f t="shared" si="4"/>
        <v>0.97587364590345027</v>
      </c>
      <c r="I22" s="13">
        <f t="shared" si="5"/>
        <v>503.78456710703358</v>
      </c>
      <c r="J22" s="13">
        <f t="shared" si="6"/>
        <v>2202.1496803099253</v>
      </c>
      <c r="K22" s="13">
        <f t="shared" si="7"/>
        <v>2705.9342474169589</v>
      </c>
      <c r="L22" s="11">
        <f t="shared" si="8"/>
        <v>1.5278150478467181</v>
      </c>
      <c r="M22" s="14">
        <f t="shared" si="9"/>
        <v>7.129090856936422</v>
      </c>
      <c r="N22" s="15">
        <f t="shared" si="10"/>
        <v>4.246370718421109</v>
      </c>
      <c r="O22" s="15">
        <f t="shared" si="11"/>
        <v>2.1739988465876281</v>
      </c>
      <c r="P22" s="15">
        <f t="shared" si="12"/>
        <v>3.6680275352156451</v>
      </c>
      <c r="Q22" s="15">
        <f t="shared" si="13"/>
        <v>1.6151917316408877</v>
      </c>
      <c r="R22" s="15">
        <f t="shared" si="14"/>
        <v>1.3108963699086105</v>
      </c>
      <c r="S22" s="15">
        <f t="shared" si="15"/>
        <v>1521.0037288196245</v>
      </c>
      <c r="T22" s="15">
        <f t="shared" si="16"/>
        <v>481.79048003375914</v>
      </c>
      <c r="U22" s="11">
        <f t="shared" si="17"/>
        <v>2.3205136233002196E-4</v>
      </c>
      <c r="V22" s="16">
        <f t="shared" si="18"/>
        <v>1.2956144834610645E-5</v>
      </c>
      <c r="W22" s="15">
        <f t="shared" si="19"/>
        <v>0.68318692363750311</v>
      </c>
      <c r="X22" s="14">
        <f t="shared" si="20"/>
        <v>2.7466380950566534E-2</v>
      </c>
      <c r="Y22" s="36">
        <f t="shared" si="21"/>
        <v>54.967424926605887</v>
      </c>
      <c r="AB22" s="66">
        <f t="shared" ref="AB22:AB32" si="25">B22</f>
        <v>120</v>
      </c>
      <c r="AC22">
        <f t="shared" ref="AC22:AC32" si="26">E22</f>
        <v>393.15</v>
      </c>
      <c r="AD22">
        <f t="shared" ref="AD22:AD32" si="27">1/AC22</f>
        <v>2.5435584382551188E-3</v>
      </c>
      <c r="AE22" s="67">
        <f t="shared" ref="AE22:AE32" si="28">D22*100</f>
        <v>198.66539973930202</v>
      </c>
      <c r="AF22">
        <f t="shared" ref="AF22:AF32" si="29">LN(AE22)</f>
        <v>5.2916220012257416</v>
      </c>
      <c r="AG22" s="68">
        <f t="shared" ref="AG22:AG32" si="30">H22</f>
        <v>0.97587364590345027</v>
      </c>
      <c r="AH22">
        <f t="shared" ref="AH22:AH32" si="31">1/G22</f>
        <v>0.89130395222753533</v>
      </c>
      <c r="AJ22">
        <f t="shared" si="22"/>
        <v>393.15</v>
      </c>
      <c r="AK22" s="68">
        <f t="shared" ref="AK22:AK32" si="32">AG22</f>
        <v>0.97587364590345027</v>
      </c>
      <c r="AL22">
        <f t="shared" ref="AL22:AL32" si="33">1/AH22</f>
        <v>1.1219517174818006</v>
      </c>
      <c r="AM22">
        <f t="shared" si="23"/>
        <v>0.32618946917540775</v>
      </c>
      <c r="AN22">
        <f t="shared" ref="AN22:AN32" si="34">(AK22/1)^AN$16</f>
        <v>0.90693123423839239</v>
      </c>
      <c r="AP22">
        <v>0.98868264242421233</v>
      </c>
      <c r="AQ22">
        <v>2.970457732026385E-2</v>
      </c>
      <c r="AR22" t="e">
        <v>#N/A</v>
      </c>
      <c r="AS22" t="e">
        <v>#N/A</v>
      </c>
      <c r="AT22" t="e">
        <v>#N/A</v>
      </c>
      <c r="AV22" s="70">
        <f>AV24/$E$26</f>
        <v>2.6888369733942148E-4</v>
      </c>
      <c r="AW22" s="70">
        <f t="shared" ref="AW22:AZ22" si="35">AW24/$E$26</f>
        <v>2.958494405621975E-4</v>
      </c>
      <c r="AX22" s="70">
        <f t="shared" si="35"/>
        <v>3.8732808919499285E-4</v>
      </c>
      <c r="AY22" s="70">
        <f t="shared" si="35"/>
        <v>5.8194511380886646E-4</v>
      </c>
      <c r="AZ22" s="70">
        <f t="shared" si="35"/>
        <v>9.7374819538492902E-4</v>
      </c>
      <c r="BB22" s="69">
        <f>BB24*8314/BI24</f>
        <v>4.8437117861897638</v>
      </c>
      <c r="BC22" s="69">
        <f t="shared" ref="BC22:BF22" si="36">BC24*8314/BJ24</f>
        <v>4.9252991815457543</v>
      </c>
      <c r="BD22" s="69">
        <f t="shared" si="36"/>
        <v>5.1806342173504962</v>
      </c>
      <c r="BE22" s="69">
        <f t="shared" si="36"/>
        <v>5.6441784315983385</v>
      </c>
      <c r="BF22" s="69">
        <f t="shared" si="36"/>
        <v>6.383497723312253</v>
      </c>
    </row>
    <row r="23" spans="1:65">
      <c r="A23" s="71"/>
      <c r="B23" s="42">
        <f t="shared" ref="B23:B32" si="37">B22+20</f>
        <v>140</v>
      </c>
      <c r="C23" s="48">
        <f t="shared" ref="C23" si="38">D23*100-$D$17</f>
        <v>265.5009619848488</v>
      </c>
      <c r="D23" s="12">
        <f t="shared" ref="D23" si="39">pSatW(E23)</f>
        <v>3.6150096198484878</v>
      </c>
      <c r="E23" s="11">
        <f t="shared" ref="E23" si="40">B23+$G$13</f>
        <v>413.15</v>
      </c>
      <c r="F23" s="13">
        <f t="shared" ref="F23" si="41">denssatliqTW(E23)</f>
        <v>926.1320520251254</v>
      </c>
      <c r="G23" s="14">
        <f t="shared" ref="G23" si="42">denssatvapTW(E23)</f>
        <v>1.9664941863081919</v>
      </c>
      <c r="H23" s="15">
        <f t="shared" ref="H23" si="43">D23*100*$G$11/($G$12*E23)/G23</f>
        <v>0.96407947169161479</v>
      </c>
      <c r="I23" s="13">
        <f t="shared" si="5"/>
        <v>589.20025964363992</v>
      </c>
      <c r="J23" s="13">
        <f t="shared" ref="J23" si="44">K23-I23</f>
        <v>2144.2436840644737</v>
      </c>
      <c r="K23" s="13">
        <f t="shared" si="7"/>
        <v>2733.4439437081137</v>
      </c>
      <c r="L23" s="11">
        <f t="shared" si="8"/>
        <v>1.7392890660109213</v>
      </c>
      <c r="M23" s="14">
        <f t="shared" si="9"/>
        <v>6.9292723061369559</v>
      </c>
      <c r="N23" s="15">
        <f t="shared" si="10"/>
        <v>4.286040773304153</v>
      </c>
      <c r="O23" s="15">
        <f t="shared" si="11"/>
        <v>2.310921976701692</v>
      </c>
      <c r="P23" s="15">
        <f t="shared" si="12"/>
        <v>3.5724722780246752</v>
      </c>
      <c r="Q23" s="15">
        <f t="shared" si="13"/>
        <v>1.7001024352707745</v>
      </c>
      <c r="R23" s="15">
        <f t="shared" ref="R23" si="45">isentropic_coeffsatvaptW(E23)</f>
        <v>1.3050950921763769</v>
      </c>
      <c r="S23" s="15">
        <f t="shared" ref="S23" si="46">spsoundSatLiqTW(E23)</f>
        <v>1486.6291470916062</v>
      </c>
      <c r="T23" s="15">
        <f t="shared" ref="T23" si="47">spsoundSatVapTW(E23)</f>
        <v>489.81205946558111</v>
      </c>
      <c r="U23" s="11">
        <f t="shared" si="17"/>
        <v>1.9654049557010642E-4</v>
      </c>
      <c r="V23" s="16">
        <f t="shared" si="18"/>
        <v>1.3646655358013999E-5</v>
      </c>
      <c r="W23" s="15">
        <f t="shared" si="19"/>
        <v>0.68329703981781331</v>
      </c>
      <c r="X23" s="14">
        <f t="shared" si="20"/>
        <v>3.0140062262958751E-2</v>
      </c>
      <c r="Y23" s="36">
        <f t="shared" ref="Y23" si="48">watSurfTens(E23)</f>
        <v>50.855065824573941</v>
      </c>
      <c r="AB23" s="66">
        <f t="shared" si="25"/>
        <v>140</v>
      </c>
      <c r="AC23">
        <f t="shared" si="26"/>
        <v>413.15</v>
      </c>
      <c r="AD23">
        <f t="shared" si="27"/>
        <v>2.4204284158296022E-3</v>
      </c>
      <c r="AE23" s="67">
        <f t="shared" si="28"/>
        <v>361.5009619848488</v>
      </c>
      <c r="AF23">
        <f t="shared" si="29"/>
        <v>5.8902647026875297</v>
      </c>
      <c r="AG23" s="68">
        <f t="shared" si="30"/>
        <v>0.96407947169161479</v>
      </c>
      <c r="AH23">
        <f t="shared" si="31"/>
        <v>0.50851917435736493</v>
      </c>
      <c r="AJ23">
        <f t="shared" si="22"/>
        <v>413.15</v>
      </c>
      <c r="AK23" s="68">
        <f t="shared" si="32"/>
        <v>0.96407947169161479</v>
      </c>
      <c r="AL23">
        <f t="shared" si="33"/>
        <v>1.9664941863081919</v>
      </c>
      <c r="AM23">
        <f t="shared" si="23"/>
        <v>0.34620178959485409</v>
      </c>
      <c r="AN23">
        <f t="shared" si="34"/>
        <v>0.86387586694124607</v>
      </c>
      <c r="AP23">
        <v>873.59848427816269</v>
      </c>
      <c r="AQ23">
        <v>10</v>
      </c>
      <c r="AR23" t="e">
        <v>#N/A</v>
      </c>
      <c r="AS23" t="e">
        <v>#N/A</v>
      </c>
      <c r="AT23" t="e">
        <v>#N/A</v>
      </c>
    </row>
    <row r="24" spans="1:65">
      <c r="A24" s="71"/>
      <c r="B24" s="42">
        <f t="shared" si="37"/>
        <v>160</v>
      </c>
      <c r="C24" s="48">
        <f t="shared" ref="C24:C32" si="49">D24*100-$D$17</f>
        <v>522.13919672205463</v>
      </c>
      <c r="D24" s="12">
        <f t="shared" ref="D24:D32" si="50">pSatW(E24)</f>
        <v>6.1813919672205468</v>
      </c>
      <c r="E24" s="11">
        <f t="shared" ref="E24:E32" si="51">B24+$G$13</f>
        <v>433.15</v>
      </c>
      <c r="F24" s="13">
        <f t="shared" ref="F24:F32" si="52">denssatliqTW(E24)</f>
        <v>907.45051109040799</v>
      </c>
      <c r="G24" s="14">
        <f t="shared" ref="G24:G32" si="53">denssatvapTW(E24)</f>
        <v>3.259256437288756</v>
      </c>
      <c r="H24" s="15">
        <f t="shared" ref="H24:H32" si="54">D24*100*$G$11/($G$12*E24)/G24</f>
        <v>0.94870946792143118</v>
      </c>
      <c r="I24" s="13">
        <f t="shared" si="5"/>
        <v>675.57467986363372</v>
      </c>
      <c r="J24" s="13">
        <f t="shared" ref="J24:J32" si="55">K24-I24</f>
        <v>2081.8558511057063</v>
      </c>
      <c r="K24" s="13">
        <f t="shared" si="7"/>
        <v>2757.43053096934</v>
      </c>
      <c r="L24" s="11">
        <f t="shared" si="8"/>
        <v>1.9427785229410817</v>
      </c>
      <c r="M24" s="14">
        <f t="shared" si="9"/>
        <v>6.74910384530512</v>
      </c>
      <c r="N24" s="15">
        <f t="shared" si="10"/>
        <v>4.3379298470185104</v>
      </c>
      <c r="O24" s="15">
        <f t="shared" si="11"/>
        <v>2.4917721454091377</v>
      </c>
      <c r="P24" s="15">
        <f t="shared" si="12"/>
        <v>3.4816791349303475</v>
      </c>
      <c r="Q24" s="15">
        <f t="shared" si="13"/>
        <v>1.8072670813558434</v>
      </c>
      <c r="R24" s="15">
        <f t="shared" ref="R24:R32" si="56">isentropic_coeffsatvaptW(E24)</f>
        <v>1.2982409578234804</v>
      </c>
      <c r="S24" s="15">
        <f t="shared" ref="S24:S32" si="57">spsoundSatLiqTW(E24)</f>
        <v>1443.1691237026034</v>
      </c>
      <c r="T24" s="15">
        <f t="shared" ref="T24:T32" si="58">spsoundSatVapTW(E24)</f>
        <v>496.20544884101594</v>
      </c>
      <c r="U24" s="11">
        <f t="shared" si="17"/>
        <v>1.7023980785434555E-4</v>
      </c>
      <c r="V24" s="16">
        <f t="shared" si="18"/>
        <v>1.4336834876918734E-5</v>
      </c>
      <c r="W24" s="15">
        <f t="shared" si="19"/>
        <v>0.67995672761306036</v>
      </c>
      <c r="X24" s="14">
        <f t="shared" si="20"/>
        <v>3.3130291504425292E-2</v>
      </c>
      <c r="Y24" s="36">
        <f t="shared" ref="Y24:Y32" si="59">watSurfTens(E24)</f>
        <v>46.589820351333643</v>
      </c>
      <c r="AB24" s="66">
        <f t="shared" si="25"/>
        <v>160</v>
      </c>
      <c r="AC24">
        <f t="shared" si="26"/>
        <v>433.15</v>
      </c>
      <c r="AD24">
        <f t="shared" si="27"/>
        <v>2.3086690522913541E-3</v>
      </c>
      <c r="AE24" s="67">
        <f t="shared" si="28"/>
        <v>618.13919672205463</v>
      </c>
      <c r="AF24">
        <f t="shared" si="29"/>
        <v>6.4267136695098808</v>
      </c>
      <c r="AG24" s="68">
        <f t="shared" si="30"/>
        <v>0.94870946792143118</v>
      </c>
      <c r="AH24">
        <f t="shared" si="31"/>
        <v>0.30681844747136855</v>
      </c>
      <c r="AJ24">
        <f t="shared" si="22"/>
        <v>433.15</v>
      </c>
      <c r="AK24" s="68">
        <f t="shared" si="32"/>
        <v>0.94870946792143118</v>
      </c>
      <c r="AL24">
        <f t="shared" si="33"/>
        <v>3.259256437288756</v>
      </c>
      <c r="AM24">
        <f t="shared" si="23"/>
        <v>0.36640887336536071</v>
      </c>
      <c r="AN24">
        <f t="shared" si="34"/>
        <v>0.8100893806083489</v>
      </c>
      <c r="AP24">
        <v>0.77083003045908494</v>
      </c>
      <c r="AQ24">
        <v>8.8236191377553345E-3</v>
      </c>
      <c r="AR24" t="e">
        <v>#N/A</v>
      </c>
      <c r="AS24" t="e">
        <v>#N/A</v>
      </c>
      <c r="AT24" t="e">
        <v>#N/A</v>
      </c>
      <c r="AV24">
        <f>AV26</f>
        <v>0.12722232139614728</v>
      </c>
      <c r="AW24">
        <f t="shared" ref="AW24:AZ24" si="60">AW26</f>
        <v>0.13998116280200373</v>
      </c>
      <c r="AX24">
        <f t="shared" si="60"/>
        <v>0.18326428540261086</v>
      </c>
      <c r="AY24">
        <f t="shared" si="60"/>
        <v>0.27534733059866517</v>
      </c>
      <c r="AZ24">
        <f t="shared" si="60"/>
        <v>0.46072895864637914</v>
      </c>
      <c r="BB24" s="68">
        <f>BB26</f>
        <v>0.90574722780805983</v>
      </c>
      <c r="BC24" s="68">
        <f t="shared" ref="BC24:BF24" si="61">BC26</f>
        <v>0.90338161577654641</v>
      </c>
      <c r="BD24" s="68">
        <f t="shared" si="61"/>
        <v>0.89623380349414195</v>
      </c>
      <c r="BE24" s="68">
        <f t="shared" si="61"/>
        <v>0.88415362818897547</v>
      </c>
      <c r="BF24" s="68">
        <f t="shared" si="61"/>
        <v>0.86687709240756372</v>
      </c>
      <c r="BI24">
        <f>EXP(BI26)</f>
        <v>1554.6718682698245</v>
      </c>
      <c r="BJ24">
        <f t="shared" ref="BJ24:BM24" si="62">EXP(BJ26)</f>
        <v>1524.9255886236431</v>
      </c>
      <c r="BK24">
        <f t="shared" si="62"/>
        <v>1438.2964574675316</v>
      </c>
      <c r="BL24">
        <f t="shared" si="62"/>
        <v>1302.3779020893749</v>
      </c>
      <c r="BM24">
        <f t="shared" si="62"/>
        <v>1129.0387274606596</v>
      </c>
    </row>
    <row r="25" spans="1:65">
      <c r="A25" s="71"/>
      <c r="B25" s="42">
        <f t="shared" si="37"/>
        <v>180</v>
      </c>
      <c r="C25" s="48">
        <f t="shared" si="49"/>
        <v>906.63456881209572</v>
      </c>
      <c r="D25" s="12">
        <f t="shared" si="50"/>
        <v>10.026345688120957</v>
      </c>
      <c r="E25" s="11">
        <f t="shared" si="51"/>
        <v>453.15</v>
      </c>
      <c r="F25" s="13">
        <f t="shared" si="52"/>
        <v>887.00531730440309</v>
      </c>
      <c r="G25" s="14">
        <f t="shared" si="53"/>
        <v>5.1583189926911004</v>
      </c>
      <c r="H25" s="15">
        <f t="shared" si="54"/>
        <v>0.92938636408248865</v>
      </c>
      <c r="I25" s="13">
        <f t="shared" si="5"/>
        <v>763.18799818294519</v>
      </c>
      <c r="J25" s="13">
        <f t="shared" si="55"/>
        <v>2014.0314124989941</v>
      </c>
      <c r="K25" s="13">
        <f t="shared" si="7"/>
        <v>2777.2194106819393</v>
      </c>
      <c r="L25" s="11">
        <f t="shared" si="8"/>
        <v>2.1395396974716796</v>
      </c>
      <c r="M25" s="14">
        <f t="shared" si="9"/>
        <v>6.5840707716515707</v>
      </c>
      <c r="N25" s="15">
        <f t="shared" si="10"/>
        <v>4.4055522027922684</v>
      </c>
      <c r="O25" s="15">
        <f t="shared" si="11"/>
        <v>2.7163988208910079</v>
      </c>
      <c r="P25" s="15">
        <f t="shared" si="12"/>
        <v>3.3962763240368652</v>
      </c>
      <c r="Q25" s="15">
        <f t="shared" si="13"/>
        <v>1.9310840322276304</v>
      </c>
      <c r="R25" s="15">
        <f t="shared" si="56"/>
        <v>1.2909076950127834</v>
      </c>
      <c r="S25" s="15">
        <f t="shared" si="57"/>
        <v>1391.3192037896572</v>
      </c>
      <c r="T25" s="15">
        <f t="shared" si="58"/>
        <v>500.9159194384938</v>
      </c>
      <c r="U25" s="11">
        <f t="shared" si="17"/>
        <v>1.5013801728610364E-4</v>
      </c>
      <c r="V25" s="16">
        <f t="shared" si="18"/>
        <v>1.5025532694108372E-5</v>
      </c>
      <c r="W25" s="15">
        <f t="shared" si="19"/>
        <v>0.67332893972265229</v>
      </c>
      <c r="X25" s="14">
        <f t="shared" si="20"/>
        <v>3.644812399803074E-2</v>
      </c>
      <c r="Y25" s="36">
        <f t="shared" si="59"/>
        <v>42.18929778499384</v>
      </c>
      <c r="AB25" s="66">
        <f t="shared" si="25"/>
        <v>180</v>
      </c>
      <c r="AC25">
        <f t="shared" si="26"/>
        <v>453.15</v>
      </c>
      <c r="AD25">
        <f t="shared" si="27"/>
        <v>2.2067747986317999E-3</v>
      </c>
      <c r="AE25" s="67">
        <f t="shared" si="28"/>
        <v>1002.6345688120957</v>
      </c>
      <c r="AF25">
        <f t="shared" si="29"/>
        <v>6.9103863834012733</v>
      </c>
      <c r="AG25" s="68">
        <f t="shared" si="30"/>
        <v>0.92938636408248865</v>
      </c>
      <c r="AH25">
        <f t="shared" si="31"/>
        <v>0.19386160518899956</v>
      </c>
      <c r="AJ25">
        <f t="shared" si="22"/>
        <v>453.15</v>
      </c>
      <c r="AK25" s="68">
        <f t="shared" si="32"/>
        <v>0.92938636408248865</v>
      </c>
      <c r="AL25">
        <f t="shared" si="33"/>
        <v>5.1583189926911004</v>
      </c>
      <c r="AM25">
        <f t="shared" si="23"/>
        <v>0.38680348756906052</v>
      </c>
      <c r="AN25">
        <f t="shared" si="34"/>
        <v>0.74607963382136122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</row>
    <row r="26" spans="1:65">
      <c r="A26" s="71"/>
      <c r="B26" s="42">
        <f t="shared" si="37"/>
        <v>200</v>
      </c>
      <c r="C26" s="48">
        <f t="shared" si="49"/>
        <v>1458.6718682698252</v>
      </c>
      <c r="D26" s="12">
        <f t="shared" si="50"/>
        <v>15.546718682698252</v>
      </c>
      <c r="E26" s="11">
        <f t="shared" si="51"/>
        <v>473.15</v>
      </c>
      <c r="F26" s="13">
        <f t="shared" si="52"/>
        <v>864.66752748505996</v>
      </c>
      <c r="G26" s="14">
        <f t="shared" si="53"/>
        <v>7.8602558814044983</v>
      </c>
      <c r="H26" s="15">
        <f t="shared" si="54"/>
        <v>0.90574722780805983</v>
      </c>
      <c r="I26" s="13">
        <f t="shared" si="5"/>
        <v>852.39306808341951</v>
      </c>
      <c r="J26" s="13">
        <f t="shared" si="55"/>
        <v>1939.66849592886</v>
      </c>
      <c r="K26" s="13">
        <f t="shared" si="7"/>
        <v>2792.0615640122796</v>
      </c>
      <c r="L26" s="11">
        <f t="shared" si="8"/>
        <v>2.3308007061038141</v>
      </c>
      <c r="M26" s="14">
        <f t="shared" si="9"/>
        <v>6.43029677203209</v>
      </c>
      <c r="N26" s="15">
        <f t="shared" si="10"/>
        <v>4.4940105570712223</v>
      </c>
      <c r="O26" s="15">
        <f t="shared" si="11"/>
        <v>2.9900223225115274</v>
      </c>
      <c r="P26" s="15">
        <f t="shared" si="12"/>
        <v>3.3170032398447948</v>
      </c>
      <c r="Q26" s="15">
        <f t="shared" si="13"/>
        <v>2.0676901283725138</v>
      </c>
      <c r="R26" s="15">
        <f t="shared" si="56"/>
        <v>1.2834579489113769</v>
      </c>
      <c r="S26" s="15">
        <f t="shared" si="57"/>
        <v>1331.4840493192971</v>
      </c>
      <c r="T26" s="15">
        <f t="shared" si="58"/>
        <v>503.8390796365365</v>
      </c>
      <c r="U26" s="11">
        <f t="shared" si="17"/>
        <v>1.3432092436913649E-4</v>
      </c>
      <c r="V26" s="16">
        <f t="shared" si="18"/>
        <v>1.5714830799489767E-5</v>
      </c>
      <c r="W26" s="15">
        <f t="shared" si="19"/>
        <v>0.66332557875195519</v>
      </c>
      <c r="X26" s="14">
        <f t="shared" si="20"/>
        <v>4.0112302105373608E-2</v>
      </c>
      <c r="Y26" s="36">
        <f t="shared" si="59"/>
        <v>37.673510813666354</v>
      </c>
      <c r="AB26" s="66">
        <f t="shared" si="25"/>
        <v>200</v>
      </c>
      <c r="AC26">
        <f t="shared" si="26"/>
        <v>473.15</v>
      </c>
      <c r="AD26">
        <f t="shared" si="27"/>
        <v>2.1134946634259748E-3</v>
      </c>
      <c r="AE26" s="67">
        <f t="shared" si="28"/>
        <v>1554.6718682698252</v>
      </c>
      <c r="AF26">
        <f t="shared" si="29"/>
        <v>7.3490197851562513</v>
      </c>
      <c r="AG26" s="68">
        <f t="shared" si="30"/>
        <v>0.90574722780805983</v>
      </c>
      <c r="AH26">
        <f t="shared" si="31"/>
        <v>0.12722232139614728</v>
      </c>
      <c r="AJ26">
        <f t="shared" si="22"/>
        <v>473.15</v>
      </c>
      <c r="AK26" s="68">
        <f t="shared" si="32"/>
        <v>0.90574722780805983</v>
      </c>
      <c r="AL26">
        <f t="shared" si="33"/>
        <v>7.8602558814044983</v>
      </c>
      <c r="AM26">
        <f t="shared" si="23"/>
        <v>0.40737897705489606</v>
      </c>
      <c r="AN26">
        <f t="shared" si="34"/>
        <v>0.67302012963321323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V26">
        <f>AH26</f>
        <v>0.12722232139614728</v>
      </c>
      <c r="AW26">
        <f>AVERAGE(AH25,AH27)</f>
        <v>0.13998116280200373</v>
      </c>
      <c r="AX26">
        <f>AVERAGE(AH24,AH28)</f>
        <v>0.18326428540261086</v>
      </c>
      <c r="AY26">
        <f>AVERAGE(AH23,AH29)</f>
        <v>0.27534733059866517</v>
      </c>
      <c r="AZ26">
        <f>AVERAGE(AH22,AH30)</f>
        <v>0.46072895864637914</v>
      </c>
      <c r="BB26" s="68">
        <f>AK26</f>
        <v>0.90574722780805983</v>
      </c>
      <c r="BC26" s="68">
        <f>AVERAGE(AK25,AK27)</f>
        <v>0.90338161577654641</v>
      </c>
      <c r="BD26" s="68">
        <f>AVERAGE(AK24,AK28)</f>
        <v>0.89623380349414195</v>
      </c>
      <c r="BE26" s="68">
        <f>AVERAGE(AK23,AK29)</f>
        <v>0.88415362818897547</v>
      </c>
      <c r="BF26" s="68">
        <f>AVERAGE(AK22,AK30)</f>
        <v>0.86687709240756372</v>
      </c>
      <c r="BI26" s="68">
        <f>AF26</f>
        <v>7.3490197851562513</v>
      </c>
      <c r="BJ26" s="68">
        <f>AVERAGE(AF25,AF27)</f>
        <v>7.3297008935058772</v>
      </c>
      <c r="BK26" s="68">
        <f>AVERAGE(AF24,AF28)</f>
        <v>7.2712146766071104</v>
      </c>
      <c r="BL26" s="68">
        <f>AVERAGE(AF23,AF29)</f>
        <v>7.1719470280353645</v>
      </c>
      <c r="BM26" s="68">
        <f>AVERAGE(AF22,AF30)</f>
        <v>7.0291218660065722</v>
      </c>
    </row>
    <row r="27" spans="1:65">
      <c r="A27" s="71"/>
      <c r="B27" s="42">
        <f t="shared" si="37"/>
        <v>220</v>
      </c>
      <c r="C27" s="48">
        <f t="shared" si="49"/>
        <v>2223.2877277254242</v>
      </c>
      <c r="D27" s="12">
        <f t="shared" si="50"/>
        <v>23.192877277254244</v>
      </c>
      <c r="E27" s="11">
        <f t="shared" si="51"/>
        <v>493.15</v>
      </c>
      <c r="F27" s="13">
        <f t="shared" si="52"/>
        <v>840.22578787116049</v>
      </c>
      <c r="G27" s="14">
        <f t="shared" si="53"/>
        <v>11.614304679217216</v>
      </c>
      <c r="H27" s="15">
        <f t="shared" si="54"/>
        <v>0.87737686747060406</v>
      </c>
      <c r="I27" s="13">
        <f t="shared" si="5"/>
        <v>943.64169870057265</v>
      </c>
      <c r="J27" s="13">
        <f t="shared" si="55"/>
        <v>1857.4093016983825</v>
      </c>
      <c r="K27" s="13">
        <f t="shared" si="7"/>
        <v>2801.0510003989552</v>
      </c>
      <c r="L27" s="11">
        <f t="shared" si="8"/>
        <v>2.5178174198851502</v>
      </c>
      <c r="M27" s="14">
        <f t="shared" si="9"/>
        <v>6.2842455210538795</v>
      </c>
      <c r="N27" s="15">
        <f t="shared" si="10"/>
        <v>4.6107083920944358</v>
      </c>
      <c r="O27" s="15">
        <f t="shared" si="11"/>
        <v>3.3279961138328056</v>
      </c>
      <c r="P27" s="15">
        <f t="shared" si="12"/>
        <v>3.2446881616822143</v>
      </c>
      <c r="Q27" s="15">
        <f t="shared" si="13"/>
        <v>2.2170762079992694</v>
      </c>
      <c r="R27" s="15">
        <f t="shared" si="56"/>
        <v>1.2758670737478894</v>
      </c>
      <c r="S27" s="15">
        <f t="shared" si="57"/>
        <v>1263.9413044417977</v>
      </c>
      <c r="T27" s="15">
        <f t="shared" si="58"/>
        <v>504.75824594853788</v>
      </c>
      <c r="U27" s="11">
        <f t="shared" si="17"/>
        <v>1.2151832895618832E-4</v>
      </c>
      <c r="V27" s="16">
        <f t="shared" si="18"/>
        <v>1.6410822995094434E-5</v>
      </c>
      <c r="W27" s="15">
        <f t="shared" si="19"/>
        <v>0.64965929204585959</v>
      </c>
      <c r="X27" s="14">
        <f t="shared" si="20"/>
        <v>4.4168666262719251E-2</v>
      </c>
      <c r="Y27" s="36">
        <f t="shared" si="59"/>
        <v>33.065565905810828</v>
      </c>
      <c r="AB27" s="66">
        <f t="shared" si="25"/>
        <v>220</v>
      </c>
      <c r="AC27">
        <f t="shared" si="26"/>
        <v>493.15</v>
      </c>
      <c r="AD27">
        <f t="shared" si="27"/>
        <v>2.0277805941397143E-3</v>
      </c>
      <c r="AE27" s="67">
        <f t="shared" si="28"/>
        <v>2319.2877277254242</v>
      </c>
      <c r="AF27">
        <f t="shared" si="29"/>
        <v>7.749015403610481</v>
      </c>
      <c r="AG27" s="68">
        <f t="shared" si="30"/>
        <v>0.87737686747060406</v>
      </c>
      <c r="AH27">
        <f t="shared" si="31"/>
        <v>8.6100720415007936E-2</v>
      </c>
      <c r="AJ27">
        <f t="shared" si="22"/>
        <v>493.15</v>
      </c>
      <c r="AK27" s="68">
        <f t="shared" si="32"/>
        <v>0.87737686747060406</v>
      </c>
      <c r="AL27">
        <f t="shared" si="33"/>
        <v>11.614304679217216</v>
      </c>
      <c r="AM27">
        <f t="shared" si="23"/>
        <v>0.42812919567428004</v>
      </c>
      <c r="AN27">
        <f t="shared" si="34"/>
        <v>0.59257690209134373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V27" t="s">
        <v>158</v>
      </c>
      <c r="AW27">
        <v>10</v>
      </c>
      <c r="AX27">
        <f>AW27+10</f>
        <v>20</v>
      </c>
      <c r="AY27">
        <f t="shared" ref="AY27:AZ27" si="63">AX27+10</f>
        <v>30</v>
      </c>
      <c r="AZ27">
        <f t="shared" si="63"/>
        <v>40</v>
      </c>
      <c r="BB27" t="s">
        <v>158</v>
      </c>
      <c r="BC27">
        <f>AW27</f>
        <v>10</v>
      </c>
      <c r="BD27">
        <f t="shared" ref="BD27:BF27" si="64">AX27</f>
        <v>20</v>
      </c>
      <c r="BE27">
        <f t="shared" si="64"/>
        <v>30</v>
      </c>
      <c r="BF27">
        <f t="shared" si="64"/>
        <v>40</v>
      </c>
      <c r="BI27" t="s">
        <v>158</v>
      </c>
      <c r="BJ27">
        <v>10</v>
      </c>
      <c r="BK27">
        <f>BJ27+10</f>
        <v>20</v>
      </c>
      <c r="BL27">
        <f t="shared" ref="BL27:BM27" si="65">BK27+10</f>
        <v>30</v>
      </c>
      <c r="BM27">
        <f t="shared" si="65"/>
        <v>40</v>
      </c>
    </row>
    <row r="28" spans="1:65">
      <c r="A28" s="71"/>
      <c r="B28" s="42">
        <f t="shared" si="37"/>
        <v>240</v>
      </c>
      <c r="C28" s="48">
        <f t="shared" si="49"/>
        <v>3250.651871510162</v>
      </c>
      <c r="D28" s="12">
        <f t="shared" si="50"/>
        <v>33.466518715101621</v>
      </c>
      <c r="E28" s="11">
        <f t="shared" si="51"/>
        <v>513.15</v>
      </c>
      <c r="F28" s="13">
        <f t="shared" si="52"/>
        <v>813.36485916981576</v>
      </c>
      <c r="G28" s="14">
        <f t="shared" si="53"/>
        <v>16.747578872158211</v>
      </c>
      <c r="H28" s="15">
        <f t="shared" si="54"/>
        <v>0.84375813906685271</v>
      </c>
      <c r="I28" s="13">
        <f t="shared" si="5"/>
        <v>1037.5227548256446</v>
      </c>
      <c r="J28" s="13">
        <f t="shared" si="55"/>
        <v>1765.5372173125049</v>
      </c>
      <c r="K28" s="13">
        <f t="shared" si="7"/>
        <v>2803.0599721381495</v>
      </c>
      <c r="L28" s="11">
        <f t="shared" si="8"/>
        <v>2.7019401597279158</v>
      </c>
      <c r="M28" s="14">
        <f t="shared" si="9"/>
        <v>6.1425269673423388</v>
      </c>
      <c r="N28" s="15">
        <f t="shared" si="10"/>
        <v>4.766841145597029</v>
      </c>
      <c r="O28" s="15">
        <f t="shared" si="11"/>
        <v>3.7545314948723147</v>
      </c>
      <c r="P28" s="15">
        <f t="shared" si="12"/>
        <v>3.1802334129478695</v>
      </c>
      <c r="Q28" s="15">
        <f t="shared" si="13"/>
        <v>2.3794831845500086</v>
      </c>
      <c r="R28" s="15">
        <f t="shared" si="56"/>
        <v>1.2680207901259948</v>
      </c>
      <c r="S28" s="15">
        <f t="shared" si="57"/>
        <v>1188.8315944870221</v>
      </c>
      <c r="T28" s="15">
        <f t="shared" si="58"/>
        <v>503.37592453577099</v>
      </c>
      <c r="U28" s="11">
        <f t="shared" si="17"/>
        <v>1.108509474720599E-4</v>
      </c>
      <c r="V28" s="16">
        <f t="shared" si="18"/>
        <v>1.7125009989814476E-5</v>
      </c>
      <c r="W28" s="15">
        <f t="shared" si="19"/>
        <v>0.63184781940471679</v>
      </c>
      <c r="X28" s="14">
        <f t="shared" si="20"/>
        <v>4.8726918674282763E-2</v>
      </c>
      <c r="Y28" s="36">
        <f t="shared" si="59"/>
        <v>28.392673745771603</v>
      </c>
      <c r="AB28" s="66">
        <f t="shared" si="25"/>
        <v>240</v>
      </c>
      <c r="AC28">
        <f t="shared" si="26"/>
        <v>513.15</v>
      </c>
      <c r="AD28">
        <f t="shared" si="27"/>
        <v>1.948747929455325E-3</v>
      </c>
      <c r="AE28" s="67">
        <f t="shared" si="28"/>
        <v>3346.651871510162</v>
      </c>
      <c r="AF28">
        <f t="shared" si="29"/>
        <v>8.1157156837043409</v>
      </c>
      <c r="AG28" s="68">
        <f t="shared" si="30"/>
        <v>0.84375813906685271</v>
      </c>
      <c r="AH28">
        <f t="shared" si="31"/>
        <v>5.971012333385315E-2</v>
      </c>
      <c r="AJ28">
        <f t="shared" si="22"/>
        <v>513.15</v>
      </c>
      <c r="AK28" s="68">
        <f t="shared" si="32"/>
        <v>0.84375813906685271</v>
      </c>
      <c r="AL28">
        <f t="shared" si="33"/>
        <v>16.747578872158211</v>
      </c>
      <c r="AM28">
        <f t="shared" si="23"/>
        <v>0.44904844817420136</v>
      </c>
      <c r="AN28">
        <f t="shared" si="34"/>
        <v>0.50684118848521731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</row>
    <row r="29" spans="1:65">
      <c r="A29" s="71"/>
      <c r="B29" s="42">
        <f t="shared" si="37"/>
        <v>260</v>
      </c>
      <c r="C29" s="48">
        <f t="shared" si="49"/>
        <v>4596.071054355345</v>
      </c>
      <c r="D29" s="12">
        <f t="shared" si="50"/>
        <v>46.920710543553454</v>
      </c>
      <c r="E29" s="11">
        <f t="shared" si="51"/>
        <v>533.15</v>
      </c>
      <c r="F29" s="13">
        <f t="shared" si="52"/>
        <v>783.61981901726813</v>
      </c>
      <c r="G29" s="14">
        <f t="shared" si="53"/>
        <v>23.710455407296024</v>
      </c>
      <c r="H29" s="15">
        <f t="shared" si="54"/>
        <v>0.80422778468633627</v>
      </c>
      <c r="I29" s="13">
        <f t="shared" si="5"/>
        <v>1134.8266316171985</v>
      </c>
      <c r="J29" s="13">
        <f t="shared" si="55"/>
        <v>1661.8170047778726</v>
      </c>
      <c r="K29" s="13">
        <f t="shared" si="7"/>
        <v>2796.6436363950711</v>
      </c>
      <c r="L29" s="11">
        <f t="shared" si="8"/>
        <v>2.8847151531368835</v>
      </c>
      <c r="M29" s="14">
        <f t="shared" si="9"/>
        <v>6.0016880236805337</v>
      </c>
      <c r="N29" s="15">
        <f t="shared" si="10"/>
        <v>4.980728719038586</v>
      </c>
      <c r="O29" s="15">
        <f t="shared" si="11"/>
        <v>4.3080141235813203</v>
      </c>
      <c r="P29" s="15">
        <f t="shared" si="12"/>
        <v>3.124852899609146</v>
      </c>
      <c r="Q29" s="15">
        <f t="shared" si="13"/>
        <v>2.5542791198791153</v>
      </c>
      <c r="R29" s="15">
        <f t="shared" si="56"/>
        <v>1.2599657017674282</v>
      </c>
      <c r="S29" s="15">
        <f t="shared" si="57"/>
        <v>1105.8264654027057</v>
      </c>
      <c r="T29" s="15">
        <f t="shared" si="58"/>
        <v>499.33465008566446</v>
      </c>
      <c r="U29" s="11">
        <f t="shared" si="17"/>
        <v>1.0167962355429541E-4</v>
      </c>
      <c r="V29" s="16">
        <f t="shared" si="18"/>
        <v>1.7876953497480556E-5</v>
      </c>
      <c r="W29" s="15">
        <f t="shared" si="19"/>
        <v>0.60923284078966011</v>
      </c>
      <c r="X29" s="14">
        <f t="shared" si="20"/>
        <v>5.4031496851238786E-2</v>
      </c>
      <c r="Y29" s="36">
        <f t="shared" si="59"/>
        <v>23.687700351321816</v>
      </c>
      <c r="AB29" s="66">
        <f t="shared" si="25"/>
        <v>260</v>
      </c>
      <c r="AC29">
        <f t="shared" si="26"/>
        <v>533.15</v>
      </c>
      <c r="AD29">
        <f t="shared" si="27"/>
        <v>1.8756447528838038E-3</v>
      </c>
      <c r="AE29" s="67">
        <f t="shared" si="28"/>
        <v>4692.071054355345</v>
      </c>
      <c r="AF29">
        <f t="shared" si="29"/>
        <v>8.4536293533831994</v>
      </c>
      <c r="AG29" s="68">
        <f t="shared" si="30"/>
        <v>0.80422778468633627</v>
      </c>
      <c r="AH29">
        <f t="shared" si="31"/>
        <v>4.2175486839965401E-2</v>
      </c>
      <c r="AJ29">
        <f t="shared" si="22"/>
        <v>533.15</v>
      </c>
      <c r="AK29" s="68">
        <f t="shared" si="32"/>
        <v>0.80422778468633627</v>
      </c>
      <c r="AL29">
        <f t="shared" si="33"/>
        <v>23.710455407296024</v>
      </c>
      <c r="AM29">
        <f t="shared" si="23"/>
        <v>0.47013144074256141</v>
      </c>
      <c r="AN29">
        <f t="shared" si="34"/>
        <v>0.41832738196234703</v>
      </c>
      <c r="AV29" t="s">
        <v>159</v>
      </c>
      <c r="AW29">
        <f>(AW26-$AV$26)/$AV$26</f>
        <v>0.10028775820029041</v>
      </c>
      <c r="AX29">
        <f t="shared" ref="AX29:AZ29" si="66">(AX26-$AV$26)/$AV$26</f>
        <v>0.44050417718726453</v>
      </c>
      <c r="AY29">
        <f t="shared" si="66"/>
        <v>1.1643004747671868</v>
      </c>
      <c r="AZ29">
        <f t="shared" si="66"/>
        <v>2.6214475069335719</v>
      </c>
      <c r="BB29" t="s">
        <v>162</v>
      </c>
      <c r="BC29">
        <f>ABS(BC26-$BB$26)/$BB$26</f>
        <v>2.6117794886750959E-3</v>
      </c>
      <c r="BD29">
        <f t="shared" ref="BD29:BF29" si="67">ABS(BD26-$BB$26)/$BB$26</f>
        <v>1.0503398764952012E-2</v>
      </c>
      <c r="BE29">
        <f t="shared" si="67"/>
        <v>2.3840646657392075E-2</v>
      </c>
      <c r="BF29">
        <f t="shared" si="67"/>
        <v>4.2914992403082705E-2</v>
      </c>
      <c r="BI29" t="s">
        <v>162</v>
      </c>
      <c r="BJ29">
        <f>ABS(BJ26-$BI$26)/$BI$26</f>
        <v>2.6287712123724263E-3</v>
      </c>
      <c r="BK29">
        <f t="shared" ref="BK29:BM29" si="68">ABS(BK26-$BI$26)/$BI$26</f>
        <v>1.0587140982569371E-2</v>
      </c>
      <c r="BL29">
        <f t="shared" si="68"/>
        <v>2.409474491802881E-2</v>
      </c>
      <c r="BM29">
        <f t="shared" si="68"/>
        <v>4.3529331598183695E-2</v>
      </c>
    </row>
    <row r="30" spans="1:65">
      <c r="A30" s="71"/>
      <c r="B30" s="42">
        <f t="shared" si="37"/>
        <v>280</v>
      </c>
      <c r="C30" s="48">
        <f t="shared" si="49"/>
        <v>6320.4592816803715</v>
      </c>
      <c r="D30" s="12">
        <f t="shared" si="50"/>
        <v>64.164592816803719</v>
      </c>
      <c r="E30" s="11">
        <f t="shared" si="51"/>
        <v>553.15</v>
      </c>
      <c r="F30" s="13">
        <f t="shared" si="52"/>
        <v>750.27459727580344</v>
      </c>
      <c r="G30" s="14">
        <f t="shared" si="53"/>
        <v>33.163134527648452</v>
      </c>
      <c r="H30" s="15">
        <f t="shared" si="54"/>
        <v>0.75788053891167706</v>
      </c>
      <c r="I30" s="13">
        <f t="shared" si="5"/>
        <v>1236.6710007034555</v>
      </c>
      <c r="J30" s="13">
        <f t="shared" si="55"/>
        <v>1543.1534616334031</v>
      </c>
      <c r="K30" s="13">
        <f t="shared" si="7"/>
        <v>2779.8244623368587</v>
      </c>
      <c r="L30" s="11">
        <f t="shared" si="8"/>
        <v>3.0680747776115513</v>
      </c>
      <c r="M30" s="14">
        <f t="shared" si="9"/>
        <v>5.8578276097292958</v>
      </c>
      <c r="N30" s="15">
        <f t="shared" si="10"/>
        <v>5.2858600929513733</v>
      </c>
      <c r="O30" s="15">
        <f t="shared" si="11"/>
        <v>5.0700969719522666</v>
      </c>
      <c r="P30" s="15">
        <f t="shared" si="12"/>
        <v>3.0809028123777389</v>
      </c>
      <c r="Q30" s="15">
        <f t="shared" si="13"/>
        <v>2.7470066815042786</v>
      </c>
      <c r="R30" s="15">
        <f t="shared" si="56"/>
        <v>1.2516415543066597</v>
      </c>
      <c r="S30" s="15">
        <f t="shared" si="57"/>
        <v>1013.5139699893457</v>
      </c>
      <c r="T30" s="15">
        <f t="shared" si="58"/>
        <v>492.10742930547536</v>
      </c>
      <c r="U30" s="11">
        <f t="shared" si="17"/>
        <v>9.3506250756332604E-5</v>
      </c>
      <c r="V30" s="16">
        <f t="shared" si="18"/>
        <v>1.8699624829555715E-5</v>
      </c>
      <c r="W30" s="15">
        <f t="shared" si="19"/>
        <v>0.58114896334122179</v>
      </c>
      <c r="X30" s="14">
        <f t="shared" si="20"/>
        <v>6.0612288271728681E-2</v>
      </c>
      <c r="Y30" s="36">
        <f t="shared" si="59"/>
        <v>18.991699001633627</v>
      </c>
      <c r="AB30" s="66">
        <f t="shared" si="25"/>
        <v>280</v>
      </c>
      <c r="AC30">
        <f t="shared" si="26"/>
        <v>553.15</v>
      </c>
      <c r="AD30">
        <f t="shared" si="27"/>
        <v>1.8078278947844166E-3</v>
      </c>
      <c r="AE30" s="67">
        <f t="shared" si="28"/>
        <v>6416.4592816803715</v>
      </c>
      <c r="AF30">
        <f t="shared" si="29"/>
        <v>8.7666217307874028</v>
      </c>
      <c r="AG30" s="68">
        <f t="shared" si="30"/>
        <v>0.75788053891167706</v>
      </c>
      <c r="AH30">
        <f t="shared" si="31"/>
        <v>3.0153965065222936E-2</v>
      </c>
      <c r="AJ30">
        <f t="shared" si="22"/>
        <v>553.15</v>
      </c>
      <c r="AK30" s="68">
        <f t="shared" si="32"/>
        <v>0.75788053891167706</v>
      </c>
      <c r="AL30">
        <f t="shared" si="33"/>
        <v>33.163134527648452</v>
      </c>
      <c r="AM30">
        <f t="shared" si="23"/>
        <v>0.49137323863932458</v>
      </c>
      <c r="AN30">
        <f t="shared" si="34"/>
        <v>0.32991572874872382</v>
      </c>
    </row>
    <row r="31" spans="1:65">
      <c r="A31" s="71"/>
      <c r="B31" s="42">
        <f t="shared" si="37"/>
        <v>300</v>
      </c>
      <c r="C31" s="48">
        <f t="shared" si="49"/>
        <v>8491.7083295572793</v>
      </c>
      <c r="D31" s="12">
        <f t="shared" si="50"/>
        <v>85.877083295572788</v>
      </c>
      <c r="E31" s="11">
        <f t="shared" si="51"/>
        <v>573.15</v>
      </c>
      <c r="F31" s="13">
        <f t="shared" si="52"/>
        <v>712.13762109957088</v>
      </c>
      <c r="G31" s="14">
        <f t="shared" si="53"/>
        <v>46.161520159037551</v>
      </c>
      <c r="H31" s="15">
        <f t="shared" si="54"/>
        <v>0.70328716042662787</v>
      </c>
      <c r="I31" s="13">
        <f t="shared" si="5"/>
        <v>1344.7713390197296</v>
      </c>
      <c r="J31" s="13">
        <f t="shared" si="55"/>
        <v>1404.8024035242438</v>
      </c>
      <c r="K31" s="13">
        <f t="shared" si="7"/>
        <v>2749.5737425439734</v>
      </c>
      <c r="L31" s="11">
        <f t="shared" si="8"/>
        <v>3.2547405504942146</v>
      </c>
      <c r="M31" s="14">
        <f t="shared" si="9"/>
        <v>5.7057636168271531</v>
      </c>
      <c r="N31" s="15">
        <f t="shared" si="10"/>
        <v>5.7515232656451278</v>
      </c>
      <c r="O31" s="15">
        <f t="shared" si="11"/>
        <v>6.2230868055026765</v>
      </c>
      <c r="P31" s="15">
        <f t="shared" si="12"/>
        <v>3.0524714422486472</v>
      </c>
      <c r="Q31" s="15">
        <f t="shared" si="13"/>
        <v>2.9724190923652074</v>
      </c>
      <c r="R31" s="15">
        <f t="shared" si="56"/>
        <v>1.2426550447031668</v>
      </c>
      <c r="S31" s="15">
        <f t="shared" si="57"/>
        <v>909.68887223625779</v>
      </c>
      <c r="T31" s="15">
        <f t="shared" si="58"/>
        <v>480.81043588495146</v>
      </c>
      <c r="U31" s="11">
        <f t="shared" si="17"/>
        <v>8.5896445395443487E-5</v>
      </c>
      <c r="V31" s="16">
        <f t="shared" si="18"/>
        <v>1.965120870836571E-5</v>
      </c>
      <c r="W31" s="15">
        <f t="shared" si="19"/>
        <v>0.54743031006199572</v>
      </c>
      <c r="X31" s="14">
        <f t="shared" si="20"/>
        <v>6.9646030252948118E-2</v>
      </c>
      <c r="Y31" s="36">
        <f t="shared" si="59"/>
        <v>14.358398097881595</v>
      </c>
      <c r="AB31" s="66">
        <f t="shared" si="25"/>
        <v>300</v>
      </c>
      <c r="AC31">
        <f t="shared" si="26"/>
        <v>573.15</v>
      </c>
      <c r="AD31">
        <f t="shared" si="27"/>
        <v>1.7447439588240427E-3</v>
      </c>
      <c r="AE31" s="67">
        <f t="shared" si="28"/>
        <v>8587.7083295572793</v>
      </c>
      <c r="AF31">
        <f t="shared" si="29"/>
        <v>9.058087195864557</v>
      </c>
      <c r="AG31" s="68">
        <f t="shared" si="30"/>
        <v>0.70328716042662787</v>
      </c>
      <c r="AH31">
        <f t="shared" si="31"/>
        <v>2.1663064746454606E-2</v>
      </c>
      <c r="AJ31">
        <f t="shared" si="22"/>
        <v>573.15</v>
      </c>
      <c r="AK31" s="68">
        <f t="shared" si="32"/>
        <v>0.70328716042662787</v>
      </c>
      <c r="AL31">
        <f t="shared" si="33"/>
        <v>46.161520159037551</v>
      </c>
      <c r="AM31">
        <f t="shared" si="23"/>
        <v>0.51276922967736382</v>
      </c>
      <c r="AN31">
        <f t="shared" si="34"/>
        <v>0.24464185162133259</v>
      </c>
    </row>
    <row r="32" spans="1:65">
      <c r="A32" s="39"/>
      <c r="B32" s="42">
        <f t="shared" si="37"/>
        <v>320</v>
      </c>
      <c r="C32" s="48">
        <f t="shared" si="49"/>
        <v>11187.855886549687</v>
      </c>
      <c r="D32" s="12">
        <f t="shared" si="50"/>
        <v>112.83855886549688</v>
      </c>
      <c r="E32" s="11">
        <f t="shared" si="51"/>
        <v>593.15</v>
      </c>
      <c r="F32" s="13">
        <f t="shared" si="52"/>
        <v>667.08334106585164</v>
      </c>
      <c r="G32" s="14">
        <f t="shared" si="53"/>
        <v>64.616484752065887</v>
      </c>
      <c r="H32" s="15">
        <f t="shared" si="54"/>
        <v>0.63790127500397253</v>
      </c>
      <c r="I32" s="13">
        <f t="shared" si="5"/>
        <v>1462.0510091192475</v>
      </c>
      <c r="J32" s="13">
        <f t="shared" si="55"/>
        <v>1238.6166782220819</v>
      </c>
      <c r="K32" s="13">
        <f t="shared" si="7"/>
        <v>2700.6676873413294</v>
      </c>
      <c r="L32" s="11">
        <f t="shared" si="8"/>
        <v>3.4491160973268271</v>
      </c>
      <c r="M32" s="14">
        <f t="shared" si="9"/>
        <v>5.5373194499261045</v>
      </c>
      <c r="N32" s="15">
        <f t="shared" si="10"/>
        <v>6.5414207882140012</v>
      </c>
      <c r="O32" s="15">
        <f t="shared" si="11"/>
        <v>8.15748511408637</v>
      </c>
      <c r="P32" s="15">
        <f t="shared" si="12"/>
        <v>3.0418438812420985</v>
      </c>
      <c r="Q32" s="15">
        <f t="shared" si="13"/>
        <v>3.2332112847458645</v>
      </c>
      <c r="R32" s="15">
        <f t="shared" si="56"/>
        <v>1.2342181796949023</v>
      </c>
      <c r="S32" s="15">
        <f t="shared" si="57"/>
        <v>794.57896903512119</v>
      </c>
      <c r="T32" s="15">
        <f t="shared" si="58"/>
        <v>464.25123854025799</v>
      </c>
      <c r="U32" s="11">
        <f t="shared" si="17"/>
        <v>7.8406226355436708E-5</v>
      </c>
      <c r="V32" s="16">
        <f t="shared" si="18"/>
        <v>2.0845634924341165E-5</v>
      </c>
      <c r="W32" s="15">
        <f t="shared" si="19"/>
        <v>0.50922584819727279</v>
      </c>
      <c r="X32" s="14">
        <f t="shared" si="20"/>
        <v>8.3873924955881307E-2</v>
      </c>
      <c r="Y32" s="36">
        <f t="shared" si="59"/>
        <v>9.8631456894189125</v>
      </c>
      <c r="AB32" s="66">
        <f t="shared" si="25"/>
        <v>320</v>
      </c>
      <c r="AC32">
        <f t="shared" si="26"/>
        <v>593.15</v>
      </c>
      <c r="AD32">
        <f t="shared" si="27"/>
        <v>1.6859141869678834E-3</v>
      </c>
      <c r="AE32" s="67">
        <f t="shared" si="28"/>
        <v>11283.855886549687</v>
      </c>
      <c r="AF32">
        <f t="shared" si="29"/>
        <v>9.3311283005541288</v>
      </c>
      <c r="AG32" s="68">
        <f t="shared" si="30"/>
        <v>0.63790127500397253</v>
      </c>
      <c r="AH32">
        <f t="shared" si="31"/>
        <v>1.547592698422098E-2</v>
      </c>
      <c r="AJ32">
        <f t="shared" si="22"/>
        <v>593.15</v>
      </c>
      <c r="AK32" s="68">
        <f t="shared" si="32"/>
        <v>0.63790127500397253</v>
      </c>
      <c r="AL32">
        <f t="shared" si="33"/>
        <v>64.616484752065887</v>
      </c>
      <c r="AM32">
        <f t="shared" si="23"/>
        <v>0.53431509256836496</v>
      </c>
      <c r="AN32">
        <f t="shared" si="34"/>
        <v>0.1655822885524692</v>
      </c>
      <c r="AW32" t="s">
        <v>160</v>
      </c>
      <c r="BB32" t="s">
        <v>163</v>
      </c>
    </row>
    <row r="33" spans="1:55">
      <c r="A33" s="56"/>
      <c r="B33" s="57"/>
      <c r="C33" s="58"/>
      <c r="D33" s="59"/>
      <c r="E33" s="60"/>
      <c r="F33" s="61"/>
      <c r="G33" s="62"/>
      <c r="H33" s="63"/>
      <c r="I33" s="61"/>
      <c r="J33" s="61"/>
      <c r="K33" s="61"/>
      <c r="L33" s="60"/>
      <c r="M33" s="62"/>
      <c r="N33" s="63"/>
      <c r="O33" s="63"/>
      <c r="P33" s="63"/>
      <c r="Q33" s="63"/>
      <c r="R33" s="63"/>
      <c r="S33" s="63"/>
      <c r="T33" s="63"/>
      <c r="U33" s="60"/>
      <c r="V33" s="64"/>
      <c r="W33" s="63"/>
      <c r="X33" s="62"/>
      <c r="Y33" s="65"/>
    </row>
    <row r="34" spans="1:55">
      <c r="A34" s="56"/>
      <c r="B34" s="57"/>
      <c r="C34" s="58"/>
      <c r="D34" s="59"/>
      <c r="E34" s="60"/>
      <c r="F34" s="61"/>
      <c r="G34" s="62"/>
      <c r="H34" s="63"/>
      <c r="I34" s="61"/>
      <c r="J34" s="61"/>
      <c r="K34" s="61"/>
      <c r="L34" s="60"/>
      <c r="M34" s="62"/>
      <c r="N34" s="63"/>
      <c r="O34" s="63"/>
      <c r="P34" s="63"/>
      <c r="Q34" s="63"/>
      <c r="R34" s="63"/>
      <c r="S34" s="63"/>
      <c r="T34" s="63"/>
      <c r="U34" s="60"/>
      <c r="V34" s="64"/>
      <c r="W34" s="63"/>
      <c r="X34" s="62"/>
      <c r="Y34" s="65"/>
    </row>
    <row r="35" spans="1:55">
      <c r="A35" s="56"/>
      <c r="B35" s="57"/>
      <c r="C35" s="58"/>
      <c r="D35" s="59"/>
      <c r="E35" s="60"/>
      <c r="F35" s="61"/>
      <c r="G35" s="62"/>
      <c r="H35" s="63"/>
      <c r="I35" s="61"/>
      <c r="J35" s="61"/>
      <c r="K35" s="61"/>
      <c r="L35" s="60"/>
      <c r="M35" s="62"/>
      <c r="N35" s="63"/>
      <c r="O35" s="63"/>
      <c r="P35" s="63"/>
      <c r="Q35" s="63"/>
      <c r="R35" s="63"/>
      <c r="S35" s="63"/>
      <c r="T35" s="63"/>
      <c r="U35" s="60"/>
      <c r="V35" s="64"/>
      <c r="W35" s="63"/>
      <c r="X35" s="62"/>
      <c r="Y35" s="65"/>
    </row>
    <row r="37" spans="1:55">
      <c r="BC37" t="s">
        <v>166</v>
      </c>
    </row>
    <row r="38" spans="1:55">
      <c r="BC38" t="s">
        <v>167</v>
      </c>
    </row>
    <row r="39" spans="1:55">
      <c r="B39" t="s">
        <v>148</v>
      </c>
    </row>
    <row r="40" spans="1:5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9">denssatliqTW(E40)</f>
        <v>943.44863997676532</v>
      </c>
      <c r="G40" s="8">
        <f t="shared" ref="G40" si="70">denssatvapTW(E40)</f>
        <v>1.1078550679403745</v>
      </c>
      <c r="H40" s="9">
        <f t="shared" ref="H40" si="71">D40*100*$G$11/($G$12*E40)/G40</f>
        <v>0.97608911155103573</v>
      </c>
      <c r="I40" s="53">
        <f t="shared" ref="I40" si="72">enthalpysatliqTW($E40)</f>
        <v>501.97394824818406</v>
      </c>
      <c r="J40" s="53">
        <f t="shared" ref="J40" si="73">K40-I40</f>
        <v>2203.3409405642183</v>
      </c>
      <c r="K40" s="53">
        <f t="shared" ref="K40" si="74">enthalpysatvapTW($E40)</f>
        <v>2705.3148888124024</v>
      </c>
      <c r="L40" s="52">
        <f t="shared" ref="L40" si="75">entropysatliqTW($E40)</f>
        <v>1.5232143273777508</v>
      </c>
      <c r="M40" s="8">
        <f t="shared" ref="M40" si="76">entropysatvapTW($E40)</f>
        <v>7.1335988868057774</v>
      </c>
      <c r="N40" s="9">
        <f t="shared" ref="N40" si="77">cpsatliqTW($E40)</f>
        <v>4.2456400116828146</v>
      </c>
      <c r="O40" s="9">
        <f t="shared" ref="O40" si="78">cpsatvapTW($E40)</f>
        <v>2.1715473174621049</v>
      </c>
      <c r="P40" s="9">
        <f t="shared" ref="P40" si="79">cvsatliqTW($E40)</f>
        <v>3.6701102139666228</v>
      </c>
      <c r="Q40" s="9">
        <f t="shared" ref="Q40" si="80">cvsatvapTW($E40)</f>
        <v>1.6136460403710355</v>
      </c>
      <c r="R40" s="9">
        <f t="shared" ref="R40" si="81">isentropic_coeffsatvaptW(E40)</f>
        <v>1.3110054113836922</v>
      </c>
      <c r="S40" s="9">
        <f t="shared" ref="S40" si="82">spsoundSatLiqTW(E40)</f>
        <v>1521.6294139253889</v>
      </c>
      <c r="T40" s="9">
        <f t="shared" ref="T40" si="83">spsoundSatVapTW(E40)</f>
        <v>481.60257849605517</v>
      </c>
      <c r="U40" s="52">
        <f t="shared" ref="U40" si="84">viscsatliqTW($E40)</f>
        <v>2.3293938953270491E-4</v>
      </c>
      <c r="V40" s="54">
        <f t="shared" ref="V40" si="85">viscsatvapTW($E40)</f>
        <v>1.2941457925809819E-5</v>
      </c>
      <c r="W40" s="9">
        <f t="shared" ref="W40" si="86">thconsatliqTW($E40)</f>
        <v>0.68314399184500618</v>
      </c>
      <c r="X40" s="8">
        <f t="shared" ref="X40" si="87">thconsatvapTW($E40)</f>
        <v>2.7412789945256241E-2</v>
      </c>
      <c r="Y40" s="10">
        <f t="shared" ref="Y40" si="88">watSurfTens(E40)</f>
        <v>55.0532346806934</v>
      </c>
    </row>
    <row r="45" spans="1:55">
      <c r="AI45" t="s">
        <v>153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90"/>
  <sheetViews>
    <sheetView tabSelected="1" topLeftCell="A38" workbookViewId="0">
      <selection activeCell="J56" sqref="J56"/>
    </sheetView>
  </sheetViews>
  <sheetFormatPr baseColWidth="10" defaultRowHeight="13"/>
  <sheetData>
    <row r="1" spans="1:3">
      <c r="A1" t="s">
        <v>201</v>
      </c>
    </row>
    <row r="3" spans="1:3">
      <c r="A3" t="s">
        <v>211</v>
      </c>
      <c r="B3" s="43"/>
      <c r="C3">
        <v>18.015000000000001</v>
      </c>
    </row>
    <row r="4" spans="1:3">
      <c r="A4" t="s">
        <v>202</v>
      </c>
      <c r="B4" t="s">
        <v>71</v>
      </c>
      <c r="C4">
        <v>300</v>
      </c>
    </row>
    <row r="5" spans="1:3">
      <c r="A5" t="s">
        <v>203</v>
      </c>
      <c r="B5" t="s">
        <v>2</v>
      </c>
      <c r="C5" cm="1">
        <f t="array" ref="C5">tsatw(C4/100)</f>
        <v>406.67535794654543</v>
      </c>
    </row>
    <row r="6" spans="1:3">
      <c r="C6">
        <f>C5-273</f>
        <v>133.67535794654543</v>
      </c>
    </row>
    <row r="7" spans="1:3">
      <c r="A7" t="s">
        <v>205</v>
      </c>
      <c r="B7" s="41"/>
      <c r="C7" s="41" cm="1">
        <f t="array" ref="C7">entropysatvappw(C4/100)</f>
        <v>6.9915659289502772</v>
      </c>
    </row>
    <row r="8" spans="1:3">
      <c r="A8" t="s">
        <v>206</v>
      </c>
      <c r="C8" cm="1">
        <f t="array" ref="C8">enthalpysatvappw(C4/100)</f>
        <v>2724.8916665566517</v>
      </c>
    </row>
    <row r="9" spans="1:3">
      <c r="A9" t="s">
        <v>209</v>
      </c>
      <c r="C9" cm="1">
        <f t="array" ref="C9">denssatvappw(C4/100)</f>
        <v>1.6507493559501045</v>
      </c>
    </row>
    <row r="10" spans="1:3">
      <c r="A10" t="s">
        <v>210</v>
      </c>
      <c r="C10">
        <f>C4*C3/(8.314*C5)</f>
        <v>1.5984448010356214</v>
      </c>
    </row>
    <row r="11" spans="1:3">
      <c r="A11" t="s">
        <v>14</v>
      </c>
      <c r="C11">
        <f>C10/C9</f>
        <v>0.96831465980831555</v>
      </c>
    </row>
    <row r="12" spans="1:3">
      <c r="A12" t="s">
        <v>207</v>
      </c>
      <c r="B12" s="41"/>
      <c r="C12" cm="1">
        <f t="array" ref="C12">cpsatvappw(C4/100)/cvsatvappw(C4/100)</f>
        <v>1.3543927824624999</v>
      </c>
    </row>
    <row r="13" spans="1:3">
      <c r="A13" t="s">
        <v>208</v>
      </c>
      <c r="C13" cm="1">
        <f t="array" ref="C13">isentropic_coeffW(C5,C4/100)</f>
        <v>1.3071123642185192</v>
      </c>
    </row>
    <row r="15" spans="1:3">
      <c r="A15" t="s">
        <v>204</v>
      </c>
      <c r="B15" t="s">
        <v>71</v>
      </c>
      <c r="C15">
        <v>1000</v>
      </c>
    </row>
    <row r="16" spans="1:3">
      <c r="A16" t="s">
        <v>206</v>
      </c>
      <c r="C16" cm="1">
        <f t="array" ref="C16">have_S_get_h(C7,C15/100)</f>
        <v>2977.703541067714</v>
      </c>
    </row>
    <row r="17" spans="1:3">
      <c r="A17" t="s">
        <v>212</v>
      </c>
      <c r="B17" t="s">
        <v>2</v>
      </c>
      <c r="C17" s="44" cm="1">
        <f t="array" ref="C17">have_H_get_T(C16,C15/100)</f>
        <v>538.85830039287532</v>
      </c>
    </row>
    <row r="18" spans="1:3">
      <c r="C18" s="44">
        <f>C17-273</f>
        <v>265.85830039287532</v>
      </c>
    </row>
    <row r="19" spans="1:3">
      <c r="A19" t="s">
        <v>209</v>
      </c>
      <c r="C19" cm="1">
        <f t="array" ref="C19">densw(C17,C15/100)</f>
        <v>4.15318984678823</v>
      </c>
    </row>
    <row r="20" spans="1:3">
      <c r="A20" t="s">
        <v>210</v>
      </c>
      <c r="C20">
        <f>C15*C3/(8.314*C17)</f>
        <v>4.0211444031762058</v>
      </c>
    </row>
    <row r="21" spans="1:3">
      <c r="A21" t="s">
        <v>14</v>
      </c>
      <c r="C21">
        <f>C20/C19</f>
        <v>0.96820625868712973</v>
      </c>
    </row>
    <row r="22" spans="1:3">
      <c r="C22" s="44"/>
    </row>
    <row r="23" spans="1:3">
      <c r="A23" t="s">
        <v>110</v>
      </c>
      <c r="B23" t="s">
        <v>81</v>
      </c>
      <c r="C23" s="44">
        <f>C16-C8</f>
        <v>252.81187451106234</v>
      </c>
    </row>
    <row r="24" spans="1:3">
      <c r="C24" s="44"/>
    </row>
    <row r="27" spans="1:3">
      <c r="A27" s="17" t="s">
        <v>213</v>
      </c>
    </row>
    <row r="28" spans="1:3">
      <c r="A28" s="17" t="s">
        <v>214</v>
      </c>
    </row>
    <row r="29" spans="1:3">
      <c r="A29" s="17"/>
    </row>
    <row r="30" spans="1:3">
      <c r="A30" s="17"/>
    </row>
    <row r="32" spans="1:3">
      <c r="A32" s="73" t="s">
        <v>215</v>
      </c>
      <c r="B32" s="74"/>
    </row>
    <row r="33" spans="1:3">
      <c r="A33" s="73" t="s">
        <v>216</v>
      </c>
      <c r="B33" s="74"/>
    </row>
    <row r="34" spans="1:3">
      <c r="A34" s="73" t="s">
        <v>217</v>
      </c>
      <c r="B34" s="74"/>
    </row>
    <row r="35" spans="1:3">
      <c r="A35" s="73" t="s">
        <v>218</v>
      </c>
      <c r="B35" s="74"/>
    </row>
    <row r="36" spans="1:3">
      <c r="A36" s="73" t="s">
        <v>219</v>
      </c>
      <c r="B36" s="75"/>
    </row>
    <row r="38" spans="1:3">
      <c r="A38" t="s">
        <v>220</v>
      </c>
    </row>
    <row r="39" spans="1:3">
      <c r="A39" s="76" t="s">
        <v>221</v>
      </c>
    </row>
    <row r="40" spans="1:3">
      <c r="A40" s="77" t="s">
        <v>222</v>
      </c>
      <c r="B40" s="77"/>
      <c r="C40" s="78" t="s">
        <v>223</v>
      </c>
    </row>
    <row r="41" spans="1:3">
      <c r="A41" s="77" t="s">
        <v>224</v>
      </c>
      <c r="B41" s="77"/>
      <c r="C41" s="78">
        <f>C4</f>
        <v>300</v>
      </c>
    </row>
    <row r="42" spans="1:3">
      <c r="A42" s="77" t="s">
        <v>225</v>
      </c>
      <c r="B42" s="77"/>
      <c r="C42" s="78">
        <f>C15</f>
        <v>1000</v>
      </c>
    </row>
    <row r="43" spans="1:3">
      <c r="A43" s="79"/>
      <c r="B43" s="80" t="s">
        <v>226</v>
      </c>
      <c r="C43" s="81">
        <v>15000</v>
      </c>
    </row>
    <row r="44" spans="1:3">
      <c r="A44" s="82" t="s">
        <v>227</v>
      </c>
      <c r="B44" s="83"/>
      <c r="C44" s="84">
        <v>1000</v>
      </c>
    </row>
    <row r="45" spans="1:3">
      <c r="A45" s="77" t="s">
        <v>228</v>
      </c>
      <c r="B45" s="77"/>
      <c r="C45" s="78">
        <f>C6</f>
        <v>133.67535794654543</v>
      </c>
    </row>
    <row r="46" spans="1:3">
      <c r="A46" s="78"/>
      <c r="B46" s="78" t="s">
        <v>229</v>
      </c>
      <c r="C46" s="78">
        <v>265</v>
      </c>
    </row>
    <row r="47" spans="1:3">
      <c r="A47" s="85" t="s">
        <v>230</v>
      </c>
      <c r="B47" s="85"/>
      <c r="C47" s="86">
        <f>C45+273</f>
        <v>406.67535794654543</v>
      </c>
    </row>
    <row r="48" spans="1:3">
      <c r="A48" s="86"/>
      <c r="B48" s="87" t="s">
        <v>231</v>
      </c>
      <c r="C48" s="88">
        <f>C11</f>
        <v>0.96831465980831555</v>
      </c>
    </row>
    <row r="49" spans="1:4">
      <c r="A49" s="86"/>
      <c r="B49" s="87" t="s">
        <v>232</v>
      </c>
      <c r="C49" s="88">
        <f>C21</f>
        <v>0.96820625868712973</v>
      </c>
    </row>
    <row r="50" spans="1:4">
      <c r="A50" s="86"/>
      <c r="B50" s="87" t="s">
        <v>233</v>
      </c>
      <c r="C50" s="86">
        <f>AVERAGE(C48:C49)</f>
        <v>0.96826045924772264</v>
      </c>
    </row>
    <row r="51" spans="1:4">
      <c r="A51" s="85" t="s">
        <v>234</v>
      </c>
      <c r="B51" s="85"/>
      <c r="C51" s="86">
        <f>C41*C55/(8.413*C47*C48)</f>
        <v>1.6313241584891442</v>
      </c>
      <c r="D51" s="69"/>
    </row>
    <row r="52" spans="1:4">
      <c r="A52" s="89"/>
      <c r="B52" s="90" t="s">
        <v>235</v>
      </c>
      <c r="C52" s="91">
        <f>C44/C51</f>
        <v>612.99895229048343</v>
      </c>
    </row>
    <row r="53" spans="1:4">
      <c r="A53" s="92" t="s">
        <v>236</v>
      </c>
      <c r="B53" s="77"/>
      <c r="C53" s="88">
        <v>1.3069999999999999</v>
      </c>
      <c r="D53" t="s">
        <v>248</v>
      </c>
    </row>
    <row r="54" spans="1:4">
      <c r="A54" s="93" t="s">
        <v>237</v>
      </c>
      <c r="B54" s="94"/>
      <c r="C54" s="95">
        <f>(1-((C53-1)/C53/C65))^-1</f>
        <v>1.3069999999999999</v>
      </c>
    </row>
    <row r="55" spans="1:4">
      <c r="A55" s="77" t="s">
        <v>238</v>
      </c>
      <c r="B55" s="77"/>
      <c r="C55" s="86">
        <f>C3</f>
        <v>18.015000000000001</v>
      </c>
    </row>
    <row r="56" spans="1:4">
      <c r="A56" s="93" t="s">
        <v>239</v>
      </c>
      <c r="B56" s="94"/>
      <c r="C56" s="96">
        <f>C47*C60^((C53-1)/C53)</f>
        <v>539.59305834023371</v>
      </c>
    </row>
    <row r="57" spans="1:4" ht="15">
      <c r="A57" s="85" t="s">
        <v>240</v>
      </c>
      <c r="B57" s="85"/>
      <c r="C57" s="97">
        <f>0.5*(C41+C42)*C55/8.314/(0.5*(C56+C47))</f>
        <v>2.9768246534132636</v>
      </c>
    </row>
    <row r="58" spans="1:4">
      <c r="A58" s="98" t="s">
        <v>241</v>
      </c>
      <c r="B58" s="99"/>
      <c r="C58" s="97">
        <f>C52/60*35.3145</f>
        <v>360.79585834437131</v>
      </c>
    </row>
    <row r="59" spans="1:4">
      <c r="A59" s="85" t="s">
        <v>242</v>
      </c>
      <c r="B59" s="85"/>
      <c r="C59" s="96">
        <f>C63/9.81</f>
        <v>25776.204839730552</v>
      </c>
    </row>
    <row r="60" spans="1:4" ht="15">
      <c r="A60" s="85" t="s">
        <v>243</v>
      </c>
      <c r="B60" s="85"/>
      <c r="C60" s="100">
        <f>C42/C41</f>
        <v>3.3333333333333335</v>
      </c>
    </row>
    <row r="63" spans="1:4">
      <c r="A63" s="101" t="s">
        <v>244</v>
      </c>
      <c r="B63" s="101"/>
      <c r="C63" s="102">
        <f>C50*(C54/(C54-1))*8.314/C55*C47*(C60^((C54-1)/C54) - 1)*1000</f>
        <v>252864.56947775674</v>
      </c>
    </row>
    <row r="64" spans="1:4">
      <c r="A64" s="101" t="s">
        <v>245</v>
      </c>
      <c r="B64" s="101"/>
      <c r="C64" s="102">
        <f>C44/3600*C63/1000/C65</f>
        <v>70.240158188265767</v>
      </c>
    </row>
    <row r="65" spans="1:24">
      <c r="A65" s="103" t="s">
        <v>246</v>
      </c>
      <c r="B65" s="103"/>
      <c r="C65" s="104">
        <v>1</v>
      </c>
      <c r="D65" s="104"/>
    </row>
    <row r="66" spans="1:24">
      <c r="A66" s="103" t="s">
        <v>247</v>
      </c>
      <c r="B66" s="103"/>
      <c r="C66" s="104">
        <f>(C60^((C53-1)/C53)-1)/(C60^((C54-1)/C54)-1)</f>
        <v>1</v>
      </c>
    </row>
    <row r="80" spans="1:24">
      <c r="Q80" s="44"/>
      <c r="U80" s="45"/>
      <c r="X80" s="45"/>
    </row>
    <row r="81" spans="8:24">
      <c r="Q81" s="44"/>
      <c r="U81" s="45"/>
      <c r="X81" s="45"/>
    </row>
    <row r="82" spans="8:24">
      <c r="Q82" s="44"/>
      <c r="U82" s="45"/>
      <c r="X82" s="45"/>
    </row>
    <row r="84" spans="8:24">
      <c r="J84" s="33"/>
      <c r="L84" s="44"/>
      <c r="U84" s="45"/>
      <c r="X84" s="45"/>
    </row>
    <row r="85" spans="8:24">
      <c r="L85" s="44"/>
      <c r="U85" s="45"/>
      <c r="X85" s="45"/>
    </row>
    <row r="86" spans="8:24">
      <c r="L86" s="44"/>
      <c r="U86" s="45"/>
      <c r="X86" s="45"/>
    </row>
    <row r="88" spans="8:24">
      <c r="H88" s="44"/>
      <c r="U88" s="45"/>
      <c r="X88" s="45"/>
    </row>
    <row r="89" spans="8:24">
      <c r="H89" s="44"/>
      <c r="U89" s="45"/>
      <c r="X89" s="45"/>
    </row>
    <row r="90" spans="8:24">
      <c r="H90" s="44"/>
      <c r="U90" s="45"/>
      <c r="X90" s="45"/>
    </row>
  </sheetData>
  <mergeCells count="19">
    <mergeCell ref="A66:B66"/>
    <mergeCell ref="A58:B58"/>
    <mergeCell ref="A59:B59"/>
    <mergeCell ref="A60:B60"/>
    <mergeCell ref="A63:B63"/>
    <mergeCell ref="A64:B64"/>
    <mergeCell ref="A65:B65"/>
    <mergeCell ref="A51:B51"/>
    <mergeCell ref="A53:B53"/>
    <mergeCell ref="A54:B54"/>
    <mergeCell ref="A55:B55"/>
    <mergeCell ref="A56:B56"/>
    <mergeCell ref="A57:B57"/>
    <mergeCell ref="A40:B40"/>
    <mergeCell ref="A41:B41"/>
    <mergeCell ref="A42:B42"/>
    <mergeCell ref="A44:B44"/>
    <mergeCell ref="A45:B45"/>
    <mergeCell ref="A47:B47"/>
  </mergeCells>
  <conditionalFormatting sqref="H18:Q36">
    <cfRule type="cellIs" dxfId="9" priority="3" operator="greaterThan">
      <formula>$H$11</formula>
    </cfRule>
  </conditionalFormatting>
  <conditionalFormatting sqref="H41:Q53">
    <cfRule type="cellIs" dxfId="8" priority="2" operator="greaterThan">
      <formula>$H$11</formula>
    </cfRule>
  </conditionalFormatting>
  <conditionalFormatting sqref="H58:Q70">
    <cfRule type="cellIs" dxfId="7" priority="1" operator="greaterThan">
      <formula>$H$11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T22"/>
  <sheetViews>
    <sheetView workbookViewId="0">
      <selection activeCell="K11" sqref="K11"/>
    </sheetView>
  </sheetViews>
  <sheetFormatPr baseColWidth="10" defaultRowHeight="13"/>
  <sheetData>
    <row r="1" spans="1:20">
      <c r="A1" t="s">
        <v>168</v>
      </c>
    </row>
    <row r="2" spans="1:20">
      <c r="D2" s="72">
        <v>0.3</v>
      </c>
    </row>
    <row r="3" spans="1:20">
      <c r="A3" t="s">
        <v>169</v>
      </c>
      <c r="B3" t="s">
        <v>15</v>
      </c>
      <c r="C3" t="s">
        <v>117</v>
      </c>
      <c r="D3" t="s">
        <v>170</v>
      </c>
      <c r="E3" t="s">
        <v>171</v>
      </c>
      <c r="F3" t="s">
        <v>72</v>
      </c>
      <c r="G3" t="s">
        <v>31</v>
      </c>
      <c r="I3" t="s">
        <v>74</v>
      </c>
      <c r="J3" t="s">
        <v>73</v>
      </c>
      <c r="K3" t="s">
        <v>80</v>
      </c>
      <c r="L3" t="s">
        <v>172</v>
      </c>
      <c r="M3" t="s">
        <v>186</v>
      </c>
      <c r="Q3" t="s">
        <v>180</v>
      </c>
      <c r="R3" t="s">
        <v>181</v>
      </c>
      <c r="S3" t="s">
        <v>182</v>
      </c>
      <c r="T3" t="s">
        <v>183</v>
      </c>
    </row>
    <row r="4" spans="1:20">
      <c r="A4">
        <v>4200</v>
      </c>
      <c r="B4">
        <v>400</v>
      </c>
      <c r="C4">
        <f>enthalpyw(B4+273.15,A4/100)</f>
        <v>3210.8652465749419</v>
      </c>
      <c r="D4" s="72">
        <f>D2</f>
        <v>0.3</v>
      </c>
      <c r="E4">
        <v>400</v>
      </c>
      <c r="F4">
        <f>get_turbine_exhaust_h(C4,B4+273,A4/100,E4/100,D4)</f>
        <v>3050.1150854583907</v>
      </c>
      <c r="G4">
        <f>have_H_get_T(F4,E4/100)-273</f>
        <v>291.86348130520025</v>
      </c>
      <c r="I4">
        <f>C4</f>
        <v>3210.8652465749419</v>
      </c>
      <c r="J4">
        <f>B4</f>
        <v>400</v>
      </c>
      <c r="K4">
        <f>F4</f>
        <v>3050.1150854583907</v>
      </c>
      <c r="L4">
        <f>G4</f>
        <v>291.86348130520025</v>
      </c>
      <c r="M4">
        <f>I4-K4</f>
        <v>160.75016111655123</v>
      </c>
      <c r="N4">
        <f>isentropic_coeffW(B4+273,A4/100)</f>
        <v>1.285397554736732</v>
      </c>
      <c r="O4">
        <f>N4/(N4+1)</f>
        <v>0.56243936730946775</v>
      </c>
      <c r="P4">
        <f>N4/(N4-1)</f>
        <v>4.5038842604046154</v>
      </c>
      <c r="Q4">
        <f>(N4-1)/N4</f>
        <v>0.22203057231984974</v>
      </c>
      <c r="R4">
        <f>A4/E4</f>
        <v>10.5</v>
      </c>
      <c r="S4">
        <f>R4^Q4</f>
        <v>1.6855251788524375</v>
      </c>
      <c r="T4">
        <f>(B4-G4)/(273+B4)</f>
        <v>0.16067833387043054</v>
      </c>
    </row>
    <row r="5" spans="1:20">
      <c r="A5">
        <v>4200</v>
      </c>
      <c r="B5">
        <v>380</v>
      </c>
      <c r="C5">
        <f t="shared" ref="C5:C6" si="0">enthalpyw(B5+273.15,A5/100)</f>
        <v>3162.8014962283396</v>
      </c>
      <c r="D5" s="72">
        <f>D4</f>
        <v>0.3</v>
      </c>
      <c r="E5">
        <v>400</v>
      </c>
      <c r="F5">
        <f t="shared" ref="F5:F6" si="1">get_turbine_exhaust_h(C5,B5+273,A5/100,E5/100,D5)</f>
        <v>3007.4042303026663</v>
      </c>
      <c r="G5">
        <f t="shared" ref="G5:G6" si="2">have_H_get_T(F5,E5/100)-273</f>
        <v>271.03092459720222</v>
      </c>
      <c r="I5">
        <f t="shared" ref="I5:I6" si="3">C5</f>
        <v>3162.8014962283396</v>
      </c>
      <c r="J5">
        <f t="shared" ref="J5:J6" si="4">B5</f>
        <v>380</v>
      </c>
      <c r="K5">
        <f t="shared" ref="K5:K6" si="5">F5</f>
        <v>3007.4042303026663</v>
      </c>
      <c r="L5">
        <f t="shared" ref="L5:L6" si="6">G5</f>
        <v>271.03092459720222</v>
      </c>
      <c r="M5">
        <f t="shared" ref="M5:M6" si="7">I5-K5</f>
        <v>155.39726592567331</v>
      </c>
    </row>
    <row r="6" spans="1:20">
      <c r="A6">
        <v>4200</v>
      </c>
      <c r="B6">
        <v>360</v>
      </c>
      <c r="C6">
        <f t="shared" si="0"/>
        <v>3113.6926228164157</v>
      </c>
      <c r="D6" s="72">
        <f t="shared" ref="D6" si="8">D5</f>
        <v>0.3</v>
      </c>
      <c r="E6">
        <v>400</v>
      </c>
      <c r="F6">
        <f t="shared" si="1"/>
        <v>2963.4758002863832</v>
      </c>
      <c r="G6">
        <f t="shared" si="2"/>
        <v>249.62411182016933</v>
      </c>
      <c r="I6">
        <f t="shared" si="3"/>
        <v>3113.6926228164157</v>
      </c>
      <c r="J6">
        <f t="shared" si="4"/>
        <v>360</v>
      </c>
      <c r="K6">
        <f t="shared" si="5"/>
        <v>2963.4758002863832</v>
      </c>
      <c r="L6">
        <f t="shared" si="6"/>
        <v>249.62411182016933</v>
      </c>
      <c r="M6">
        <f t="shared" si="7"/>
        <v>150.21682253003246</v>
      </c>
    </row>
    <row r="7" spans="1:20">
      <c r="D7" s="72"/>
    </row>
    <row r="8" spans="1:20">
      <c r="D8" s="72"/>
    </row>
    <row r="9" spans="1:20">
      <c r="D9" t="s">
        <v>173</v>
      </c>
      <c r="E9" t="s">
        <v>174</v>
      </c>
      <c r="F9" t="s">
        <v>187</v>
      </c>
      <c r="G9" t="s">
        <v>188</v>
      </c>
      <c r="H9" t="s">
        <v>186</v>
      </c>
      <c r="K9" t="s">
        <v>189</v>
      </c>
    </row>
    <row r="10" spans="1:20">
      <c r="D10" s="72">
        <v>1</v>
      </c>
      <c r="E10">
        <v>0.63</v>
      </c>
      <c r="F10">
        <v>638</v>
      </c>
      <c r="G10">
        <v>0.63429999999999997</v>
      </c>
      <c r="K10" t="s">
        <v>190</v>
      </c>
    </row>
    <row r="11" spans="1:20">
      <c r="D11" s="72">
        <v>0.8</v>
      </c>
      <c r="E11">
        <v>0.71</v>
      </c>
      <c r="F11">
        <v>511</v>
      </c>
      <c r="G11">
        <v>0.70750000000000002</v>
      </c>
    </row>
    <row r="12" spans="1:20">
      <c r="D12" s="72">
        <v>0.5</v>
      </c>
      <c r="E12">
        <v>0.82</v>
      </c>
    </row>
    <row r="13" spans="1:20">
      <c r="D13" s="72">
        <v>0.3</v>
      </c>
      <c r="E13">
        <v>0.89</v>
      </c>
      <c r="F13">
        <v>101.5</v>
      </c>
      <c r="G13">
        <v>0.89029999999999998</v>
      </c>
    </row>
    <row r="14" spans="1:20">
      <c r="D14" s="72">
        <v>0.01</v>
      </c>
      <c r="E14">
        <v>0.996</v>
      </c>
    </row>
    <row r="16" spans="1:20">
      <c r="D16" t="s">
        <v>175</v>
      </c>
    </row>
    <row r="17" spans="4:4">
      <c r="D17" t="s">
        <v>176</v>
      </c>
    </row>
    <row r="18" spans="4:4">
      <c r="D18" t="s">
        <v>177</v>
      </c>
    </row>
    <row r="19" spans="4:4">
      <c r="D19" t="s">
        <v>178</v>
      </c>
    </row>
    <row r="20" spans="4:4">
      <c r="D20" t="s">
        <v>179</v>
      </c>
    </row>
    <row r="21" spans="4:4">
      <c r="D21" t="s">
        <v>184</v>
      </c>
    </row>
    <row r="22" spans="4:4">
      <c r="D22" t="s">
        <v>185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E0E1-03B3-EB49-BA26-E7A4D382D3A3}">
  <sheetPr codeName="Sheet10"/>
  <dimension ref="A1:R21"/>
  <sheetViews>
    <sheetView zoomScale="95" workbookViewId="0">
      <selection activeCell="D16" sqref="D16"/>
    </sheetView>
  </sheetViews>
  <sheetFormatPr baseColWidth="10" defaultRowHeight="13"/>
  <sheetData>
    <row r="1" spans="1:18">
      <c r="A1" t="s">
        <v>168</v>
      </c>
    </row>
    <row r="2" spans="1:18">
      <c r="A2" t="s">
        <v>191</v>
      </c>
    </row>
    <row r="4" spans="1:18">
      <c r="A4" t="s">
        <v>196</v>
      </c>
      <c r="B4">
        <v>115</v>
      </c>
    </row>
    <row r="5" spans="1:18">
      <c r="A5" t="s">
        <v>72</v>
      </c>
      <c r="B5">
        <f>enthalpysatliqTW(B4+273.15)</f>
        <v>482.55280984442624</v>
      </c>
    </row>
    <row r="6" spans="1:18">
      <c r="O6" t="s">
        <v>197</v>
      </c>
      <c r="P6">
        <v>1000000</v>
      </c>
    </row>
    <row r="8" spans="1:18">
      <c r="D8" s="72"/>
    </row>
    <row r="9" spans="1:18">
      <c r="A9" t="s">
        <v>169</v>
      </c>
      <c r="B9" t="s">
        <v>15</v>
      </c>
      <c r="C9" t="s">
        <v>117</v>
      </c>
      <c r="D9" t="s">
        <v>170</v>
      </c>
      <c r="E9" t="s">
        <v>171</v>
      </c>
      <c r="F9" t="s">
        <v>72</v>
      </c>
      <c r="G9" t="s">
        <v>31</v>
      </c>
      <c r="H9" t="s">
        <v>82</v>
      </c>
      <c r="I9" t="s">
        <v>74</v>
      </c>
      <c r="J9" t="s">
        <v>73</v>
      </c>
      <c r="K9" t="s">
        <v>80</v>
      </c>
      <c r="L9" t="s">
        <v>172</v>
      </c>
      <c r="M9" t="s">
        <v>186</v>
      </c>
      <c r="N9" t="s">
        <v>193</v>
      </c>
      <c r="P9" t="s">
        <v>198</v>
      </c>
      <c r="Q9" t="s">
        <v>199</v>
      </c>
      <c r="R9" t="s">
        <v>200</v>
      </c>
    </row>
    <row r="10" spans="1:18">
      <c r="A10">
        <v>5000</v>
      </c>
      <c r="B10">
        <v>520</v>
      </c>
      <c r="C10">
        <f>enthalpyw(B10+273.15,A10/100)</f>
        <v>3481.0600191380759</v>
      </c>
      <c r="D10" s="72">
        <v>0.85</v>
      </c>
      <c r="E10">
        <v>500</v>
      </c>
      <c r="F10">
        <f>get_turbine_exhaust_h(C10,B10+273,A10/100,E10/100,D10)</f>
        <v>2939.9842785609476</v>
      </c>
      <c r="G10">
        <f>have_H_get_T(F10,E10/100)-273</f>
        <v>239.99290840274796</v>
      </c>
      <c r="H10" s="45" t="str">
        <f>calc_quality(F10,E10/100)</f>
        <v>SH Vap</v>
      </c>
      <c r="I10">
        <f>C10</f>
        <v>3481.0600191380759</v>
      </c>
      <c r="J10">
        <f>B10</f>
        <v>520</v>
      </c>
      <c r="K10">
        <f>F10</f>
        <v>2939.9842785609476</v>
      </c>
      <c r="L10">
        <f>G10</f>
        <v>239.99290840274796</v>
      </c>
      <c r="M10">
        <f>I10-K10</f>
        <v>541.07574057712827</v>
      </c>
      <c r="N10">
        <f>M10+M15</f>
        <v>969.2724798716331</v>
      </c>
      <c r="P10">
        <f>C10-$B$5</f>
        <v>2998.5072092936498</v>
      </c>
      <c r="Q10">
        <f>$P$6/P10</f>
        <v>333.49928154268713</v>
      </c>
      <c r="R10">
        <f>Q10*N10</f>
        <v>323251.67565628828</v>
      </c>
    </row>
    <row r="11" spans="1:18">
      <c r="A11">
        <f>A10+1500</f>
        <v>6500</v>
      </c>
      <c r="B11">
        <f>B10</f>
        <v>520</v>
      </c>
      <c r="C11">
        <f t="shared" ref="C11:C12" si="0">enthalpyw(B11+273.15,A11/100)</f>
        <v>3465.0063737350492</v>
      </c>
      <c r="D11" s="72">
        <f>D10</f>
        <v>0.85</v>
      </c>
      <c r="E11">
        <f>E10</f>
        <v>500</v>
      </c>
      <c r="F11">
        <f t="shared" ref="F11:F12" si="1">get_turbine_exhaust_h(C11,B11+273,A11/100,E11/100,D11)</f>
        <v>2884.9667359361924</v>
      </c>
      <c r="G11">
        <f t="shared" ref="G11:G12" si="2">have_H_get_T(F11,E11/100)-273</f>
        <v>213.79425592704843</v>
      </c>
      <c r="H11" s="45" t="str">
        <f t="shared" ref="H11:H13" si="3">calc_quality(F11,E11/100)</f>
        <v>SH Vap</v>
      </c>
      <c r="I11">
        <f t="shared" ref="I11:I12" si="4">C11</f>
        <v>3465.0063737350492</v>
      </c>
      <c r="J11">
        <f t="shared" ref="J11:J12" si="5">B11</f>
        <v>520</v>
      </c>
      <c r="K11">
        <f t="shared" ref="K11:L12" si="6">F11</f>
        <v>2884.9667359361924</v>
      </c>
      <c r="L11">
        <f t="shared" si="6"/>
        <v>213.79425592704843</v>
      </c>
      <c r="M11">
        <f t="shared" ref="M11:M12" si="7">I11-K11</f>
        <v>580.0396377988568</v>
      </c>
      <c r="N11">
        <f t="shared" ref="N11:N13" si="8">M11+M16</f>
        <v>994.30271752059207</v>
      </c>
      <c r="P11">
        <f t="shared" ref="P11:P13" si="9">C11-$B$5</f>
        <v>2982.4535638906232</v>
      </c>
      <c r="Q11">
        <f t="shared" ref="Q11:Q13" si="10">$P$6/P11</f>
        <v>335.29440729849813</v>
      </c>
      <c r="R11">
        <f t="shared" ref="R11:R13" si="11">Q11*N11</f>
        <v>333384.14034635294</v>
      </c>
    </row>
    <row r="12" spans="1:18">
      <c r="A12">
        <f t="shared" ref="A12:A13" si="12">A11+1500</f>
        <v>8000</v>
      </c>
      <c r="B12">
        <f t="shared" ref="B12:B13" si="13">B11</f>
        <v>520</v>
      </c>
      <c r="C12">
        <f t="shared" si="0"/>
        <v>3448.6407522642421</v>
      </c>
      <c r="D12" s="72">
        <f t="shared" ref="D12:E18" si="14">D11</f>
        <v>0.85</v>
      </c>
      <c r="E12">
        <f t="shared" si="14"/>
        <v>500</v>
      </c>
      <c r="F12">
        <f t="shared" si="1"/>
        <v>2841.7181374424645</v>
      </c>
      <c r="G12">
        <f t="shared" si="2"/>
        <v>193.56442926385262</v>
      </c>
      <c r="H12" s="45" t="str">
        <f t="shared" si="3"/>
        <v>SH Vap</v>
      </c>
      <c r="I12">
        <f t="shared" si="4"/>
        <v>3448.6407522642421</v>
      </c>
      <c r="J12">
        <f t="shared" si="5"/>
        <v>520</v>
      </c>
      <c r="K12">
        <f t="shared" si="6"/>
        <v>2841.7181374424645</v>
      </c>
      <c r="L12">
        <f t="shared" si="6"/>
        <v>193.56442926385262</v>
      </c>
      <c r="M12">
        <f t="shared" si="7"/>
        <v>606.92261482177764</v>
      </c>
      <c r="N12">
        <f t="shared" si="8"/>
        <v>1011.279126287438</v>
      </c>
      <c r="P12">
        <f t="shared" si="9"/>
        <v>2966.087942419816</v>
      </c>
      <c r="Q12">
        <f t="shared" si="10"/>
        <v>337.14442033170889</v>
      </c>
      <c r="R12">
        <f t="shared" si="11"/>
        <v>340947.11482573528</v>
      </c>
    </row>
    <row r="13" spans="1:18">
      <c r="A13">
        <f t="shared" si="12"/>
        <v>9500</v>
      </c>
      <c r="B13">
        <f t="shared" si="13"/>
        <v>520</v>
      </c>
      <c r="C13">
        <f t="shared" ref="C13" si="15">enthalpyw(B13+273.15,A13/100)</f>
        <v>3431.9492553636965</v>
      </c>
      <c r="D13" s="72">
        <f t="shared" si="14"/>
        <v>0.85</v>
      </c>
      <c r="E13">
        <f t="shared" si="14"/>
        <v>500</v>
      </c>
      <c r="F13">
        <f t="shared" ref="F13" si="16">get_turbine_exhaust_h(C13,B13+273,A13/100,E13/100,D13)</f>
        <v>2804.7472911995023</v>
      </c>
      <c r="G13">
        <f t="shared" ref="G13" si="17">have_H_get_T(F13,E13/100)-273</f>
        <v>176.66736112096208</v>
      </c>
      <c r="H13" s="45" t="str">
        <f t="shared" si="3"/>
        <v>SH Vap</v>
      </c>
      <c r="I13">
        <f t="shared" ref="I13" si="18">C13</f>
        <v>3431.9492553636965</v>
      </c>
      <c r="J13">
        <f t="shared" ref="J13" si="19">B13</f>
        <v>520</v>
      </c>
      <c r="K13">
        <f t="shared" ref="K13" si="20">F13</f>
        <v>2804.7472911995023</v>
      </c>
      <c r="L13">
        <f t="shared" ref="L13" si="21">G13</f>
        <v>176.66736112096208</v>
      </c>
      <c r="M13">
        <f t="shared" ref="M13" si="22">I13-K13</f>
        <v>627.20196416419412</v>
      </c>
      <c r="N13">
        <f t="shared" si="8"/>
        <v>1023.8718631042898</v>
      </c>
      <c r="P13">
        <f t="shared" si="9"/>
        <v>2949.3964455192704</v>
      </c>
      <c r="Q13">
        <f t="shared" si="10"/>
        <v>339.05241918874697</v>
      </c>
      <c r="R13">
        <f t="shared" si="11"/>
        <v>347146.23212479899</v>
      </c>
    </row>
    <row r="14" spans="1:18">
      <c r="A14" t="s">
        <v>192</v>
      </c>
      <c r="D14" s="72"/>
    </row>
    <row r="15" spans="1:18">
      <c r="A15">
        <f>E10</f>
        <v>500</v>
      </c>
      <c r="B15">
        <f>G10</f>
        <v>239.99290840274796</v>
      </c>
      <c r="C15">
        <f t="shared" ref="C15:C18" si="23">enthalpyw(B15+273.15,A15/100)</f>
        <v>2940.2971338981679</v>
      </c>
      <c r="D15" s="72">
        <v>0.75</v>
      </c>
      <c r="E15">
        <v>18</v>
      </c>
      <c r="F15">
        <f t="shared" ref="F15:F18" si="24">get_turbine_exhaust_h(C15,B15+273,A15/100,E15/100,D15)</f>
        <v>2512.1003946036631</v>
      </c>
      <c r="G15">
        <f t="shared" ref="G15:G18" si="25">have_H_get_T(F15,E15/100)-273</f>
        <v>57.948933096851249</v>
      </c>
      <c r="H15" s="45">
        <f t="shared" ref="H15:H18" si="26">calc_quality(F15,E15/100)</f>
        <v>0.96068330363789234</v>
      </c>
      <c r="I15">
        <f t="shared" ref="I15:I18" si="27">C15</f>
        <v>2940.2971338981679</v>
      </c>
      <c r="J15">
        <f t="shared" ref="J15:J18" si="28">B15</f>
        <v>239.99290840274796</v>
      </c>
      <c r="K15">
        <f t="shared" ref="K15:K18" si="29">F15</f>
        <v>2512.1003946036631</v>
      </c>
      <c r="L15">
        <f t="shared" ref="L15:L18" si="30">G15</f>
        <v>57.948933096851249</v>
      </c>
      <c r="M15">
        <f t="shared" ref="M15:M18" si="31">I15-K15</f>
        <v>428.19673929450482</v>
      </c>
    </row>
    <row r="16" spans="1:18">
      <c r="A16">
        <f t="shared" ref="A16:A18" si="32">E11</f>
        <v>500</v>
      </c>
      <c r="B16">
        <f t="shared" ref="B16:B18" si="33">G11</f>
        <v>213.79425592704843</v>
      </c>
      <c r="C16">
        <f t="shared" si="23"/>
        <v>2885.2843930368163</v>
      </c>
      <c r="D16" s="72">
        <f t="shared" si="14"/>
        <v>0.75</v>
      </c>
      <c r="E16">
        <f>E15</f>
        <v>18</v>
      </c>
      <c r="F16">
        <f t="shared" si="24"/>
        <v>2471.021313315081</v>
      </c>
      <c r="G16">
        <f t="shared" si="25"/>
        <v>57.948933096851249</v>
      </c>
      <c r="H16" s="45">
        <f t="shared" si="26"/>
        <v>0.9432994633089824</v>
      </c>
      <c r="I16">
        <f t="shared" si="27"/>
        <v>2885.2843930368163</v>
      </c>
      <c r="J16">
        <f t="shared" si="28"/>
        <v>213.79425592704843</v>
      </c>
      <c r="K16">
        <f t="shared" si="29"/>
        <v>2471.021313315081</v>
      </c>
      <c r="L16">
        <f t="shared" si="30"/>
        <v>57.948933096851249</v>
      </c>
      <c r="M16">
        <f t="shared" si="31"/>
        <v>414.26307972173527</v>
      </c>
    </row>
    <row r="17" spans="1:13">
      <c r="A17">
        <f t="shared" si="32"/>
        <v>500</v>
      </c>
      <c r="B17">
        <f t="shared" si="33"/>
        <v>193.56442926385262</v>
      </c>
      <c r="C17">
        <f t="shared" si="23"/>
        <v>2842.0423154262812</v>
      </c>
      <c r="D17" s="72">
        <f t="shared" si="14"/>
        <v>0.75</v>
      </c>
      <c r="E17">
        <f t="shared" si="14"/>
        <v>18</v>
      </c>
      <c r="F17">
        <f t="shared" si="24"/>
        <v>2437.6858039606209</v>
      </c>
      <c r="G17">
        <f t="shared" si="25"/>
        <v>57.948933096851249</v>
      </c>
      <c r="H17" s="45">
        <f t="shared" si="26"/>
        <v>0.92919254675381868</v>
      </c>
      <c r="I17">
        <f t="shared" si="27"/>
        <v>2842.0423154262812</v>
      </c>
      <c r="J17">
        <f t="shared" si="28"/>
        <v>193.56442926385262</v>
      </c>
      <c r="K17">
        <f t="shared" si="29"/>
        <v>2437.6858039606209</v>
      </c>
      <c r="L17">
        <f t="shared" si="30"/>
        <v>57.948933096851249</v>
      </c>
      <c r="M17">
        <f t="shared" si="31"/>
        <v>404.35651146566033</v>
      </c>
    </row>
    <row r="18" spans="1:13">
      <c r="A18">
        <f t="shared" si="32"/>
        <v>500</v>
      </c>
      <c r="B18">
        <f t="shared" si="33"/>
        <v>176.66736112096208</v>
      </c>
      <c r="C18">
        <f t="shared" si="23"/>
        <v>2805.080080768118</v>
      </c>
      <c r="D18" s="72">
        <f t="shared" si="14"/>
        <v>0.75</v>
      </c>
      <c r="E18">
        <f t="shared" si="14"/>
        <v>18</v>
      </c>
      <c r="F18">
        <f t="shared" si="24"/>
        <v>2408.4101818280224</v>
      </c>
      <c r="G18">
        <f t="shared" si="25"/>
        <v>57.948933096851249</v>
      </c>
      <c r="H18" s="45">
        <f t="shared" si="26"/>
        <v>0.91680369275030793</v>
      </c>
      <c r="I18">
        <f t="shared" si="27"/>
        <v>2805.080080768118</v>
      </c>
      <c r="J18">
        <f t="shared" si="28"/>
        <v>176.66736112096208</v>
      </c>
      <c r="K18">
        <f t="shared" si="29"/>
        <v>2408.4101818280224</v>
      </c>
      <c r="L18">
        <f t="shared" si="30"/>
        <v>57.948933096851249</v>
      </c>
      <c r="M18">
        <f t="shared" si="31"/>
        <v>396.66989894009566</v>
      </c>
    </row>
    <row r="19" spans="1:13">
      <c r="D19" s="72"/>
    </row>
    <row r="20" spans="1:13">
      <c r="B20" t="s">
        <v>194</v>
      </c>
      <c r="D20" s="72"/>
    </row>
    <row r="21" spans="1:13">
      <c r="B21" t="s"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workbookViewId="0">
      <selection activeCell="D22" sqref="D22"/>
    </sheetView>
  </sheetViews>
  <sheetFormatPr baseColWidth="10" defaultRowHeight="13"/>
  <sheetData>
    <row r="1" spans="1:24">
      <c r="A1" t="s">
        <v>102</v>
      </c>
      <c r="J1" t="s">
        <v>135</v>
      </c>
      <c r="K1">
        <f>C9</f>
        <v>4000</v>
      </c>
      <c r="L1">
        <f>Sheet4!C9</f>
        <v>3000</v>
      </c>
    </row>
    <row r="2" spans="1:24">
      <c r="J2" t="s">
        <v>136</v>
      </c>
      <c r="K2">
        <f>O20</f>
        <v>0</v>
      </c>
      <c r="L2">
        <f>Sheet4!O20</f>
        <v>0</v>
      </c>
    </row>
    <row r="3" spans="1:24">
      <c r="A3" t="s">
        <v>103</v>
      </c>
      <c r="B3" t="s">
        <v>76</v>
      </c>
      <c r="C3">
        <v>150000</v>
      </c>
      <c r="J3" t="s">
        <v>137</v>
      </c>
    </row>
    <row r="4" spans="1:24">
      <c r="A4" t="s">
        <v>104</v>
      </c>
      <c r="C4">
        <v>6</v>
      </c>
    </row>
    <row r="5" spans="1:24">
      <c r="A5" t="s">
        <v>77</v>
      </c>
      <c r="B5" t="s">
        <v>105</v>
      </c>
      <c r="C5">
        <v>7.4999999999999997E-2</v>
      </c>
    </row>
    <row r="6" spans="1:24">
      <c r="A6" t="s">
        <v>79</v>
      </c>
      <c r="B6" t="s">
        <v>78</v>
      </c>
      <c r="C6">
        <f>0.25*PI()*C5^2</f>
        <v>4.4178646691106467E-3</v>
      </c>
      <c r="T6" t="s">
        <v>103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103</v>
      </c>
      <c r="B7" t="s">
        <v>90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106</v>
      </c>
      <c r="B9" t="s">
        <v>89</v>
      </c>
      <c r="C9">
        <v>4000</v>
      </c>
      <c r="E9">
        <v>3500</v>
      </c>
      <c r="F9" t="s">
        <v>133</v>
      </c>
      <c r="T9">
        <f t="shared" ref="T9:T37" si="0">T8+$S$8</f>
        <v>95000</v>
      </c>
    </row>
    <row r="10" spans="1:24">
      <c r="A10" t="s">
        <v>107</v>
      </c>
      <c r="B10" t="s">
        <v>85</v>
      </c>
      <c r="C10">
        <v>20</v>
      </c>
      <c r="T10">
        <f t="shared" si="0"/>
        <v>105000</v>
      </c>
    </row>
    <row r="11" spans="1:24">
      <c r="A11" t="s">
        <v>108</v>
      </c>
      <c r="B11" t="s">
        <v>109</v>
      </c>
      <c r="C11">
        <f>C9*C10</f>
        <v>80000</v>
      </c>
      <c r="T11">
        <f t="shared" si="0"/>
        <v>115000</v>
      </c>
    </row>
    <row r="12" spans="1:24">
      <c r="A12" t="s">
        <v>110</v>
      </c>
      <c r="B12" t="s">
        <v>81</v>
      </c>
      <c r="C12">
        <f>C11/(C7*C4)</f>
        <v>1920</v>
      </c>
      <c r="E12" t="s">
        <v>111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74</v>
      </c>
      <c r="C14">
        <v>600</v>
      </c>
      <c r="T14">
        <f t="shared" si="0"/>
        <v>145000</v>
      </c>
    </row>
    <row r="15" spans="1:24">
      <c r="A15" t="s">
        <v>32</v>
      </c>
      <c r="B15" t="s">
        <v>112</v>
      </c>
      <c r="C15">
        <v>10000</v>
      </c>
      <c r="T15">
        <f t="shared" si="0"/>
        <v>155000</v>
      </c>
    </row>
    <row r="16" spans="1:24">
      <c r="A16" t="s">
        <v>113</v>
      </c>
      <c r="B16" t="s">
        <v>105</v>
      </c>
      <c r="C16">
        <f>(C10/C4)/(0.25*PI()*C5^2)</f>
        <v>754.51232280602233</v>
      </c>
      <c r="T16">
        <f t="shared" si="0"/>
        <v>165000</v>
      </c>
    </row>
    <row r="17" spans="1:20">
      <c r="B17" t="s">
        <v>105</v>
      </c>
      <c r="C17">
        <v>800</v>
      </c>
      <c r="D17" t="s">
        <v>114</v>
      </c>
      <c r="N17">
        <v>1</v>
      </c>
      <c r="T17">
        <f t="shared" si="0"/>
        <v>175000</v>
      </c>
    </row>
    <row r="18" spans="1:20">
      <c r="A18" t="s">
        <v>118</v>
      </c>
      <c r="B18" t="s">
        <v>105</v>
      </c>
      <c r="C18">
        <v>20</v>
      </c>
      <c r="N18">
        <v>1</v>
      </c>
      <c r="T18">
        <f t="shared" si="0"/>
        <v>185000</v>
      </c>
    </row>
    <row r="19" spans="1:20">
      <c r="A19" t="s">
        <v>130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132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115</v>
      </c>
      <c r="B21" t="s">
        <v>116</v>
      </c>
      <c r="C21" t="s">
        <v>117</v>
      </c>
      <c r="D21" t="s">
        <v>119</v>
      </c>
      <c r="E21" t="s">
        <v>120</v>
      </c>
      <c r="I21" t="s">
        <v>143</v>
      </c>
      <c r="N21" t="s">
        <v>131</v>
      </c>
      <c r="Q21" t="s">
        <v>138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112</v>
      </c>
      <c r="E63" t="s">
        <v>4</v>
      </c>
      <c r="F63" t="s">
        <v>121</v>
      </c>
      <c r="G63" t="s">
        <v>122</v>
      </c>
      <c r="H63" t="s">
        <v>82</v>
      </c>
      <c r="I63" t="s">
        <v>123</v>
      </c>
      <c r="J63" t="s">
        <v>124</v>
      </c>
      <c r="K63" t="s">
        <v>125</v>
      </c>
      <c r="L63" t="s">
        <v>126</v>
      </c>
      <c r="M63" t="s">
        <v>129</v>
      </c>
      <c r="O63" t="s">
        <v>134</v>
      </c>
    </row>
    <row r="64" spans="1:15">
      <c r="F64">
        <v>0</v>
      </c>
      <c r="G64">
        <v>1</v>
      </c>
    </row>
    <row r="65" spans="12:13" ht="16">
      <c r="L65" s="46" t="s">
        <v>127</v>
      </c>
    </row>
    <row r="67" spans="12:13" ht="16">
      <c r="M67" s="47" t="s">
        <v>128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102</v>
      </c>
    </row>
    <row r="3" spans="1:24">
      <c r="A3" t="s">
        <v>103</v>
      </c>
      <c r="B3" t="s">
        <v>76</v>
      </c>
      <c r="C3">
        <v>150000</v>
      </c>
    </row>
    <row r="4" spans="1:24">
      <c r="A4" t="s">
        <v>104</v>
      </c>
      <c r="C4">
        <v>6</v>
      </c>
    </row>
    <row r="5" spans="1:24">
      <c r="A5" t="s">
        <v>77</v>
      </c>
      <c r="B5" t="s">
        <v>105</v>
      </c>
      <c r="C5">
        <v>7.4999999999999997E-2</v>
      </c>
    </row>
    <row r="6" spans="1:24">
      <c r="A6" t="s">
        <v>79</v>
      </c>
      <c r="B6" t="s">
        <v>78</v>
      </c>
      <c r="C6">
        <f>0.25*PI()*C5^2</f>
        <v>4.4178646691106467E-3</v>
      </c>
      <c r="T6" t="s">
        <v>103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103</v>
      </c>
      <c r="B7" t="s">
        <v>90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106</v>
      </c>
      <c r="B9" t="s">
        <v>89</v>
      </c>
      <c r="C9">
        <v>3000</v>
      </c>
      <c r="E9">
        <v>3500</v>
      </c>
      <c r="F9" t="s">
        <v>133</v>
      </c>
      <c r="T9">
        <f t="shared" ref="T9:T37" si="0">T8+$S$8</f>
        <v>85000</v>
      </c>
    </row>
    <row r="10" spans="1:24">
      <c r="A10" t="s">
        <v>107</v>
      </c>
      <c r="B10" t="s">
        <v>85</v>
      </c>
      <c r="C10">
        <v>20</v>
      </c>
      <c r="T10">
        <f t="shared" si="0"/>
        <v>90000</v>
      </c>
    </row>
    <row r="11" spans="1:24">
      <c r="A11" t="s">
        <v>108</v>
      </c>
      <c r="B11" t="s">
        <v>109</v>
      </c>
      <c r="C11">
        <f>C9*C10</f>
        <v>60000</v>
      </c>
      <c r="T11">
        <f t="shared" si="0"/>
        <v>95000</v>
      </c>
    </row>
    <row r="12" spans="1:24">
      <c r="A12" t="s">
        <v>110</v>
      </c>
      <c r="B12" t="s">
        <v>81</v>
      </c>
      <c r="C12">
        <f>C11/(C7*C4)</f>
        <v>1440</v>
      </c>
      <c r="E12" t="s">
        <v>111</v>
      </c>
      <c r="T12">
        <f t="shared" si="0"/>
        <v>100000</v>
      </c>
    </row>
    <row r="13" spans="1:24">
      <c r="G13" t="s">
        <v>144</v>
      </c>
      <c r="H13">
        <v>1000</v>
      </c>
      <c r="T13">
        <f t="shared" si="0"/>
        <v>105000</v>
      </c>
    </row>
    <row r="14" spans="1:24">
      <c r="A14" t="s">
        <v>74</v>
      </c>
      <c r="C14">
        <v>600</v>
      </c>
      <c r="G14" t="s">
        <v>145</v>
      </c>
      <c r="H14">
        <v>1</v>
      </c>
      <c r="T14">
        <f t="shared" si="0"/>
        <v>110000</v>
      </c>
    </row>
    <row r="15" spans="1:24">
      <c r="A15" t="s">
        <v>32</v>
      </c>
      <c r="B15" t="s">
        <v>112</v>
      </c>
      <c r="C15">
        <v>10000</v>
      </c>
      <c r="G15" t="s">
        <v>146</v>
      </c>
      <c r="H15">
        <v>1</v>
      </c>
      <c r="T15">
        <f t="shared" si="0"/>
        <v>115000</v>
      </c>
    </row>
    <row r="16" spans="1:24">
      <c r="A16" t="s">
        <v>113</v>
      </c>
      <c r="B16" t="s">
        <v>105</v>
      </c>
      <c r="C16">
        <f>(C10/C4)/(0.25*PI()*C5^2)</f>
        <v>754.51232280602233</v>
      </c>
      <c r="G16" t="s">
        <v>147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105</v>
      </c>
      <c r="C17">
        <v>800</v>
      </c>
      <c r="D17" t="s">
        <v>114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118</v>
      </c>
      <c r="B18" t="s">
        <v>105</v>
      </c>
      <c r="C18">
        <v>20</v>
      </c>
      <c r="N18">
        <v>1</v>
      </c>
      <c r="T18">
        <f t="shared" si="0"/>
        <v>130000</v>
      </c>
    </row>
    <row r="19" spans="1:31">
      <c r="A19" t="s">
        <v>130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132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115</v>
      </c>
      <c r="B21" t="s">
        <v>116</v>
      </c>
      <c r="C21" t="s">
        <v>117</v>
      </c>
      <c r="D21" t="s">
        <v>119</v>
      </c>
      <c r="E21" t="s">
        <v>120</v>
      </c>
      <c r="N21" t="s">
        <v>131</v>
      </c>
      <c r="Q21" t="s">
        <v>138</v>
      </c>
      <c r="T21">
        <f t="shared" si="0"/>
        <v>145000</v>
      </c>
      <c r="AC21" t="s">
        <v>139</v>
      </c>
      <c r="AD21" t="s">
        <v>140</v>
      </c>
      <c r="AE21" t="s">
        <v>141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112</v>
      </c>
      <c r="E63" t="s">
        <v>4</v>
      </c>
      <c r="F63" t="s">
        <v>121</v>
      </c>
      <c r="G63" t="s">
        <v>122</v>
      </c>
      <c r="H63" t="s">
        <v>82</v>
      </c>
      <c r="I63" t="s">
        <v>123</v>
      </c>
      <c r="J63" t="s">
        <v>124</v>
      </c>
      <c r="K63" t="s">
        <v>125</v>
      </c>
      <c r="L63" t="s">
        <v>126</v>
      </c>
      <c r="M63" t="s">
        <v>129</v>
      </c>
      <c r="O63" t="s">
        <v>134</v>
      </c>
    </row>
    <row r="64" spans="1:31">
      <c r="F64">
        <v>0</v>
      </c>
      <c r="G64">
        <v>1</v>
      </c>
    </row>
    <row r="65" spans="12:13" ht="16">
      <c r="L65" s="46" t="s">
        <v>127</v>
      </c>
    </row>
    <row r="67" spans="12:13" ht="16">
      <c r="M67" s="47" t="s">
        <v>128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83</v>
      </c>
    </row>
    <row r="3" spans="1:5">
      <c r="A3" t="s">
        <v>94</v>
      </c>
      <c r="B3" t="s">
        <v>71</v>
      </c>
      <c r="C3">
        <v>10000</v>
      </c>
    </row>
    <row r="4" spans="1:5">
      <c r="A4" t="s">
        <v>84</v>
      </c>
      <c r="B4" t="s">
        <v>85</v>
      </c>
      <c r="C4">
        <v>20</v>
      </c>
    </row>
    <row r="5" spans="1:5">
      <c r="A5" t="s">
        <v>75</v>
      </c>
      <c r="B5" t="s">
        <v>76</v>
      </c>
      <c r="C5">
        <v>150000</v>
      </c>
    </row>
    <row r="6" spans="1:5">
      <c r="B6" t="s">
        <v>90</v>
      </c>
      <c r="C6">
        <f>C5/3600</f>
        <v>41.666666666666664</v>
      </c>
    </row>
    <row r="7" spans="1:5">
      <c r="A7" t="s">
        <v>87</v>
      </c>
      <c r="B7" t="s">
        <v>6</v>
      </c>
      <c r="C7">
        <v>150</v>
      </c>
    </row>
    <row r="8" spans="1:5">
      <c r="A8" t="s">
        <v>86</v>
      </c>
      <c r="B8" t="s">
        <v>81</v>
      </c>
      <c r="C8">
        <f>enthalpysatliqTW(C7+273)</f>
        <v>631.60386931471214</v>
      </c>
    </row>
    <row r="9" spans="1:5">
      <c r="A9" t="s">
        <v>88</v>
      </c>
      <c r="B9" t="s">
        <v>89</v>
      </c>
      <c r="C9">
        <v>3000</v>
      </c>
    </row>
    <row r="10" spans="1:5">
      <c r="A10" t="s">
        <v>91</v>
      </c>
      <c r="C10">
        <v>0.75</v>
      </c>
    </row>
    <row r="11" spans="1:5">
      <c r="A11" t="s">
        <v>95</v>
      </c>
      <c r="B11" t="s">
        <v>81</v>
      </c>
      <c r="C11">
        <f>enthalpySatLiqPW(C3/100)</f>
        <v>1407.8675005682435</v>
      </c>
    </row>
    <row r="12" spans="1:5">
      <c r="A12" t="s">
        <v>96</v>
      </c>
      <c r="B12" t="s">
        <v>81</v>
      </c>
      <c r="C12">
        <f>energySatVapPW(C3/100)</f>
        <v>2545.1368144822891</v>
      </c>
    </row>
    <row r="13" spans="1:5">
      <c r="A13" t="s">
        <v>92</v>
      </c>
      <c r="B13" t="s">
        <v>81</v>
      </c>
      <c r="C13">
        <f>(1-C10)*C11+C10*C12</f>
        <v>2260.8194860037775</v>
      </c>
      <c r="E13" t="s">
        <v>93</v>
      </c>
    </row>
    <row r="15" spans="1:5">
      <c r="A15" t="s">
        <v>97</v>
      </c>
      <c r="C15">
        <v>20</v>
      </c>
    </row>
    <row r="16" spans="1:5">
      <c r="A16" t="s">
        <v>98</v>
      </c>
      <c r="C16">
        <f>(C13-C8)/C15</f>
        <v>81.460780834453274</v>
      </c>
    </row>
    <row r="20" spans="1:4">
      <c r="A20" t="s">
        <v>72</v>
      </c>
      <c r="B20" t="s">
        <v>99</v>
      </c>
      <c r="D20" t="s">
        <v>100</v>
      </c>
    </row>
    <row r="21" spans="1:4">
      <c r="A21">
        <f>C8</f>
        <v>631.60386931471214</v>
      </c>
      <c r="B21">
        <f>C3</f>
        <v>10000</v>
      </c>
      <c r="D21" t="s">
        <v>101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workbookViewId="0">
      <selection activeCell="Q42" sqref="Q42"/>
    </sheetView>
  </sheetViews>
  <sheetFormatPr baseColWidth="10" defaultRowHeight="13"/>
  <sheetData>
    <row r="1" spans="1:24">
      <c r="A1" t="s">
        <v>102</v>
      </c>
      <c r="J1" t="s">
        <v>135</v>
      </c>
      <c r="K1">
        <f>C9</f>
        <v>3500</v>
      </c>
      <c r="L1">
        <f>Sheet4!C9</f>
        <v>3000</v>
      </c>
    </row>
    <row r="2" spans="1:24">
      <c r="J2" t="s">
        <v>136</v>
      </c>
      <c r="K2">
        <f>O20</f>
        <v>11024.983323771343</v>
      </c>
      <c r="L2">
        <f>Sheet4!O20</f>
        <v>0</v>
      </c>
    </row>
    <row r="3" spans="1:24">
      <c r="A3" t="s">
        <v>103</v>
      </c>
      <c r="B3" t="s">
        <v>76</v>
      </c>
      <c r="C3">
        <v>150000</v>
      </c>
      <c r="J3" t="s">
        <v>137</v>
      </c>
    </row>
    <row r="4" spans="1:24">
      <c r="A4" t="s">
        <v>104</v>
      </c>
      <c r="C4">
        <v>6</v>
      </c>
    </row>
    <row r="5" spans="1:24">
      <c r="A5" t="s">
        <v>77</v>
      </c>
      <c r="B5" t="s">
        <v>105</v>
      </c>
      <c r="C5">
        <v>7.4999999999999997E-2</v>
      </c>
    </row>
    <row r="6" spans="1:24">
      <c r="A6" t="s">
        <v>79</v>
      </c>
      <c r="B6" t="s">
        <v>78</v>
      </c>
      <c r="C6">
        <f>0.25*PI()*C5^2</f>
        <v>4.4178646691106467E-3</v>
      </c>
      <c r="T6" t="s">
        <v>142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103</v>
      </c>
      <c r="B7" t="s">
        <v>90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106</v>
      </c>
      <c r="B9" t="s">
        <v>89</v>
      </c>
      <c r="C9">
        <v>3500</v>
      </c>
      <c r="E9">
        <v>3500</v>
      </c>
      <c r="F9" t="s">
        <v>133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107</v>
      </c>
      <c r="B10" t="s">
        <v>85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108</v>
      </c>
      <c r="B11" t="s">
        <v>109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110</v>
      </c>
      <c r="B12" t="s">
        <v>81</v>
      </c>
      <c r="C12">
        <f>C11/(C7*C4)</f>
        <v>1680</v>
      </c>
      <c r="E12" t="s">
        <v>111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74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112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113</v>
      </c>
      <c r="B16" t="s">
        <v>105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105</v>
      </c>
      <c r="C17">
        <v>800</v>
      </c>
      <c r="D17" t="s">
        <v>114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118</v>
      </c>
      <c r="B18" t="s">
        <v>105</v>
      </c>
      <c r="C18">
        <v>20</v>
      </c>
      <c r="N18">
        <v>1</v>
      </c>
    </row>
    <row r="19" spans="1:24">
      <c r="A19" t="s">
        <v>130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132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115</v>
      </c>
      <c r="B21" t="s">
        <v>116</v>
      </c>
      <c r="C21" t="s">
        <v>117</v>
      </c>
      <c r="D21" t="s">
        <v>119</v>
      </c>
      <c r="E21" t="s">
        <v>120</v>
      </c>
      <c r="N21" t="s">
        <v>131</v>
      </c>
      <c r="Q21" t="s">
        <v>138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112</v>
      </c>
      <c r="E63" t="s">
        <v>4</v>
      </c>
      <c r="F63" t="s">
        <v>121</v>
      </c>
      <c r="G63" t="s">
        <v>122</v>
      </c>
      <c r="H63" t="s">
        <v>82</v>
      </c>
      <c r="I63" t="s">
        <v>123</v>
      </c>
      <c r="J63" t="s">
        <v>124</v>
      </c>
      <c r="K63" t="s">
        <v>125</v>
      </c>
      <c r="L63" t="s">
        <v>126</v>
      </c>
      <c r="M63" t="s">
        <v>129</v>
      </c>
      <c r="O63" t="s">
        <v>134</v>
      </c>
    </row>
    <row r="64" spans="1:17">
      <c r="F64">
        <v>0</v>
      </c>
      <c r="G64">
        <v>1</v>
      </c>
    </row>
    <row r="65" spans="12:13" ht="16">
      <c r="L65" s="46" t="s">
        <v>127</v>
      </c>
    </row>
    <row r="67" spans="12:13" ht="16">
      <c r="M67" s="47" t="s">
        <v>128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Saturated Water</vt:lpstr>
      <vt:lpstr>Compressor calcs</vt:lpstr>
      <vt:lpstr>Turbine Calcs</vt:lpstr>
      <vt:lpstr>Turbine Calcs (2)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Kevin Dorma</cp:lastModifiedBy>
  <cp:lastPrinted>2006-04-18T15:03:38Z</cp:lastPrinted>
  <dcterms:created xsi:type="dcterms:W3CDTF">2003-06-12T19:54:59Z</dcterms:created>
  <dcterms:modified xsi:type="dcterms:W3CDTF">2020-06-13T18:11:36Z</dcterms:modified>
</cp:coreProperties>
</file>