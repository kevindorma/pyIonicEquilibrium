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/Documents/KD_consulting/Engg_tools/Thermo/"/>
    </mc:Choice>
  </mc:AlternateContent>
  <bookViews>
    <workbookView xWindow="0" yWindow="460" windowWidth="10000" windowHeight="16040" tabRatio="50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3" i="1" l="1"/>
  <c r="E13" i="1"/>
  <c r="D13" i="1"/>
  <c r="F12" i="1"/>
  <c r="E12" i="1"/>
  <c r="D12" i="1"/>
  <c r="F11" i="1"/>
  <c r="E11" i="1"/>
  <c r="D11" i="1"/>
  <c r="F10" i="1"/>
  <c r="E10" i="1"/>
  <c r="D10" i="1"/>
  <c r="F9" i="1"/>
  <c r="E9" i="1"/>
  <c r="D9" i="1"/>
  <c r="F8" i="1"/>
  <c r="E8" i="1"/>
  <c r="D8" i="1"/>
  <c r="F7" i="1"/>
  <c r="E7" i="1"/>
  <c r="D7" i="1"/>
  <c r="C13" i="1"/>
  <c r="C12" i="1"/>
  <c r="C11" i="1"/>
  <c r="C10" i="1"/>
  <c r="C8" i="1"/>
  <c r="C9" i="1"/>
  <c r="C7" i="1"/>
</calcChain>
</file>

<file path=xl/sharedStrings.xml><?xml version="1.0" encoding="utf-8"?>
<sst xmlns="http://schemas.openxmlformats.org/spreadsheetml/2006/main" count="18" uniqueCount="17">
  <si>
    <t>Salinity</t>
  </si>
  <si>
    <t>Temperature</t>
  </si>
  <si>
    <t>K</t>
  </si>
  <si>
    <t>Boiling Elev</t>
  </si>
  <si>
    <t>C</t>
  </si>
  <si>
    <t>g/kg</t>
  </si>
  <si>
    <t>P</t>
  </si>
  <si>
    <t>Mpa</t>
  </si>
  <si>
    <t>enthalpy</t>
  </si>
  <si>
    <t>density</t>
  </si>
  <si>
    <t>latent</t>
  </si>
  <si>
    <t>vap press</t>
  </si>
  <si>
    <t>kPa</t>
  </si>
  <si>
    <t>Thermodynamic properties of seawater</t>
  </si>
  <si>
    <t>heat capacity</t>
  </si>
  <si>
    <t>latent heat</t>
  </si>
  <si>
    <t>J/kg.K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</si>
</sst>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13"/>
  <sheetViews>
    <sheetView tabSelected="1" workbookViewId="0">
      <selection activeCell="F9" sqref="F9"/>
    </sheetView>
  </sheetViews>
  <sheetFormatPr baseColWidth="10" defaultRowHeight="16" x14ac:dyDescent="0.2"/>
  <sheetData>
    <row r="1" spans="1:6" x14ac:dyDescent="0.2">
      <c r="A1" t="s">
        <v>13</v>
      </c>
    </row>
    <row r="4" spans="1:6" x14ac:dyDescent="0.2">
      <c r="A4" t="s">
        <v>0</v>
      </c>
      <c r="B4" t="s">
        <v>5</v>
      </c>
      <c r="C4">
        <v>1</v>
      </c>
      <c r="D4">
        <v>3</v>
      </c>
      <c r="E4">
        <v>10</v>
      </c>
      <c r="F4">
        <v>30</v>
      </c>
    </row>
    <row r="5" spans="1:6" x14ac:dyDescent="0.2">
      <c r="A5" t="s">
        <v>1</v>
      </c>
      <c r="B5" t="s">
        <v>4</v>
      </c>
      <c r="C5">
        <v>10</v>
      </c>
      <c r="D5">
        <v>10</v>
      </c>
      <c r="E5">
        <v>10</v>
      </c>
      <c r="F5">
        <v>10</v>
      </c>
    </row>
    <row r="6" spans="1:6" x14ac:dyDescent="0.2">
      <c r="A6" t="s">
        <v>6</v>
      </c>
      <c r="B6" t="s">
        <v>7</v>
      </c>
      <c r="C6">
        <v>1</v>
      </c>
      <c r="D6">
        <v>1</v>
      </c>
      <c r="E6">
        <v>1</v>
      </c>
      <c r="F6">
        <v>1</v>
      </c>
    </row>
    <row r="7" spans="1:6" x14ac:dyDescent="0.2">
      <c r="A7" t="s">
        <v>3</v>
      </c>
      <c r="B7" t="s">
        <v>2</v>
      </c>
      <c r="C7">
        <f>SW_BPE(C5,C4)</f>
        <v>7.1232603588299425E-3</v>
      </c>
      <c r="D7">
        <f t="shared" ref="D7:F7" si="0">SW_BPE(D5,D4)</f>
        <v>2.1494115749441489E-2</v>
      </c>
      <c r="E7">
        <f t="shared" si="0"/>
        <v>7.3097623682574303E-2</v>
      </c>
      <c r="F7">
        <f t="shared" si="0"/>
        <v>0.23172633834288867</v>
      </c>
    </row>
    <row r="8" spans="1:6" x14ac:dyDescent="0.2">
      <c r="A8" t="s">
        <v>8</v>
      </c>
      <c r="C8">
        <f>SW_Enthalpy(C5,C4,C6)/1000</f>
        <v>42.928652591558354</v>
      </c>
      <c r="D8">
        <f t="shared" ref="D8:F8" si="1">SW_Enthalpy(D5,D4,D6)/1000</f>
        <v>42.824511614466935</v>
      </c>
      <c r="E8">
        <f t="shared" si="1"/>
        <v>42.449514957988342</v>
      </c>
      <c r="F8">
        <f t="shared" si="1"/>
        <v>41.249790934754067</v>
      </c>
    </row>
    <row r="9" spans="1:6" x14ac:dyDescent="0.2">
      <c r="A9" t="s">
        <v>9</v>
      </c>
      <c r="C9">
        <f>sw_density(C5,C4,C6)</f>
        <v>1000.7450783052088</v>
      </c>
      <c r="D9">
        <f t="shared" ref="D9:F9" si="2">sw_density(D5,D4,D6)</f>
        <v>1002.3111434408141</v>
      </c>
      <c r="E9">
        <f t="shared" si="2"/>
        <v>1007.7923246584783</v>
      </c>
      <c r="F9">
        <f t="shared" si="2"/>
        <v>1023.4524416548436</v>
      </c>
    </row>
    <row r="10" spans="1:6" x14ac:dyDescent="0.2">
      <c r="A10" t="s">
        <v>10</v>
      </c>
      <c r="C10">
        <f>SW_LatentHeat(C5,C4)/1000</f>
        <v>2474.7485746120965</v>
      </c>
      <c r="D10">
        <f t="shared" ref="D10:F10" si="3">SW_LatentHeat(D5,D4)/1000</f>
        <v>2469.7941230112715</v>
      </c>
      <c r="E10">
        <f t="shared" si="3"/>
        <v>2452.4535424083838</v>
      </c>
      <c r="F10">
        <f t="shared" si="3"/>
        <v>2402.9090264001338</v>
      </c>
    </row>
    <row r="11" spans="1:6" x14ac:dyDescent="0.2">
      <c r="A11" t="s">
        <v>11</v>
      </c>
      <c r="B11" t="s">
        <v>12</v>
      </c>
      <c r="C11">
        <f>SW_Psat(C5,C4)/1000</f>
        <v>1.2274302522034213</v>
      </c>
      <c r="D11">
        <f t="shared" ref="D11:F11" si="4">SW_Psat(D5,D4)/1000</f>
        <v>1.2262859440714902</v>
      </c>
      <c r="E11">
        <f t="shared" si="4"/>
        <v>1.2221318506566814</v>
      </c>
      <c r="F11">
        <f t="shared" si="4"/>
        <v>1.2090050061456385</v>
      </c>
    </row>
    <row r="12" spans="1:6" x14ac:dyDescent="0.2">
      <c r="A12" t="s">
        <v>14</v>
      </c>
      <c r="B12" t="s">
        <v>16</v>
      </c>
      <c r="C12">
        <f>SW_SpcHeat(C5,C4,C6)</f>
        <v>4188.1867820455836</v>
      </c>
      <c r="D12">
        <f t="shared" ref="D12:F12" si="5">SW_SpcHeat(D5,D4,D6)</f>
        <v>4176.0299320665836</v>
      </c>
      <c r="E12">
        <f t="shared" si="5"/>
        <v>4134.1203260993516</v>
      </c>
      <c r="F12">
        <f t="shared" si="5"/>
        <v>4019.8589001296505</v>
      </c>
    </row>
    <row r="13" spans="1:6" x14ac:dyDescent="0.2">
      <c r="A13" t="s">
        <v>15</v>
      </c>
      <c r="B13" t="s">
        <v>16</v>
      </c>
      <c r="C13">
        <f>SW_LatentHeat(C5,C4)</f>
        <v>2474748.5746120964</v>
      </c>
      <c r="D13">
        <f t="shared" ref="D13:F13" si="6">SW_LatentHeat(D5,D4)</f>
        <v>2469794.1230112715</v>
      </c>
      <c r="E13">
        <f t="shared" si="6"/>
        <v>2452453.5424083839</v>
      </c>
      <c r="F13">
        <f t="shared" si="6"/>
        <v>2402909.026400134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2016-11-15T00:02:37Z</dcterms:created>
  <dcterms:modified xsi:type="dcterms:W3CDTF">2017-04-11T00:58:59Z</dcterms:modified>
</cp:coreProperties>
</file>