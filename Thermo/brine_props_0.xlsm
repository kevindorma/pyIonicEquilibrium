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801CCD77-7B78-1753-DF39-40050F3742D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vin/KDC/General/Engg_tools/Thermo/"/>
    </mc:Choice>
  </mc:AlternateContent>
  <xr:revisionPtr revIDLastSave="0" documentId="13_ncr:1_{EEDC9EC1-6B24-4344-BCB6-DA38B4AEEBE1}" xr6:coauthVersionLast="45" xr6:coauthVersionMax="45" xr10:uidLastSave="{00000000-0000-0000-0000-000000000000}"/>
  <bookViews>
    <workbookView xWindow="460" yWindow="460" windowWidth="25360" windowHeight="14260" activeTab="1" xr2:uid="{00000000-000D-0000-FFFF-FFFF00000000}"/>
  </bookViews>
  <sheets>
    <sheet name="Saturated Water" sheetId="1" r:id="rId1"/>
    <sheet name="Brine Properties" sheetId="12" r:id="rId2"/>
    <sheet name="Sheet1" sheetId="4" r:id="rId3"/>
    <sheet name="Turbine Calcs" sheetId="10" r:id="rId4"/>
    <sheet name="Turbine Calcs (2)" sheetId="11" r:id="rId5"/>
    <sheet name="Chart1" sheetId="7" r:id="rId6"/>
    <sheet name="Sheet3" sheetId="6" r:id="rId7"/>
    <sheet name="Sheet4" sheetId="8" r:id="rId8"/>
    <sheet name="Sheet2" sheetId="5" r:id="rId9"/>
    <sheet name="VaryFire" sheetId="9" r:id="rId10"/>
    <sheet name="Superheated Steam" sheetId="2" r:id="rId11"/>
    <sheet name="General Properties" sheetId="3" r:id="rId12"/>
  </sheets>
  <functionGroups builtInGroupCount="19"/>
  <definedNames>
    <definedName name="solver_adj" localSheetId="0" hidden="1">'Saturated Water'!$AN$16</definedName>
    <definedName name="solver_adj" localSheetId="6" hidden="1">Sheet3!$Q$22:$Q$42</definedName>
    <definedName name="solver_adj" localSheetId="7" hidden="1">Sheet4!$Q$22:$Q$45</definedName>
    <definedName name="solver_adj" localSheetId="9" hidden="1">VaryFire!$Q$22:$Q$42</definedName>
    <definedName name="solver_cvg" localSheetId="0" hidden="1">0.0001</definedName>
    <definedName name="solver_cvg" localSheetId="6" hidden="1">0.0001</definedName>
    <definedName name="solver_cvg" localSheetId="7" hidden="1">0.0001</definedName>
    <definedName name="solver_cvg" localSheetId="9" hidden="1">0.0001</definedName>
    <definedName name="solver_drv" localSheetId="0" hidden="1">1</definedName>
    <definedName name="solver_drv" localSheetId="6" hidden="1">2</definedName>
    <definedName name="solver_drv" localSheetId="7" hidden="1">1</definedName>
    <definedName name="solver_drv" localSheetId="9" hidden="1">2</definedName>
    <definedName name="solver_eng" localSheetId="0" hidden="1">1</definedName>
    <definedName name="solver_eng" localSheetId="6" hidden="1">1</definedName>
    <definedName name="solver_eng" localSheetId="7" hidden="1">1</definedName>
    <definedName name="solver_eng" localSheetId="9" hidden="1">1</definedName>
    <definedName name="solver_est" localSheetId="0" hidden="1">1</definedName>
    <definedName name="solver_itr" localSheetId="0" hidden="1">100</definedName>
    <definedName name="solver_itr" localSheetId="6" hidden="1">2147483647</definedName>
    <definedName name="solver_itr" localSheetId="7" hidden="1">2147483647</definedName>
    <definedName name="solver_itr" localSheetId="9" hidden="1">2147483647</definedName>
    <definedName name="solver_lhs1" localSheetId="0" hidden="1">'Saturated Water'!$AN$16</definedName>
    <definedName name="solver_lin" localSheetId="0" hidden="1">2</definedName>
    <definedName name="solver_lin" localSheetId="6" hidden="1">2</definedName>
    <definedName name="solver_lin" localSheetId="7" hidden="1">2</definedName>
    <definedName name="solver_lin" localSheetId="9" hidden="1">2</definedName>
    <definedName name="solver_mip" localSheetId="0" hidden="1">2147483647</definedName>
    <definedName name="solver_mip" localSheetId="6" hidden="1">2147483647</definedName>
    <definedName name="solver_mip" localSheetId="7" hidden="1">2147483647</definedName>
    <definedName name="solver_mip" localSheetId="9" hidden="1">2147483647</definedName>
    <definedName name="solver_mni" localSheetId="0" hidden="1">30</definedName>
    <definedName name="solver_mni" localSheetId="6" hidden="1">30</definedName>
    <definedName name="solver_mni" localSheetId="7" hidden="1">30</definedName>
    <definedName name="solver_mni" localSheetId="9" hidden="1">30</definedName>
    <definedName name="solver_mrt" localSheetId="0" hidden="1">0.075</definedName>
    <definedName name="solver_mrt" localSheetId="6" hidden="1">0.075</definedName>
    <definedName name="solver_mrt" localSheetId="7" hidden="1">0.075</definedName>
    <definedName name="solver_mrt" localSheetId="9" hidden="1">0.075</definedName>
    <definedName name="solver_msl" localSheetId="0" hidden="1">2</definedName>
    <definedName name="solver_msl" localSheetId="6" hidden="1">2</definedName>
    <definedName name="solver_msl" localSheetId="7" hidden="1">2</definedName>
    <definedName name="solver_msl" localSheetId="9" hidden="1">2</definedName>
    <definedName name="solver_neg" localSheetId="0" hidden="1">2</definedName>
    <definedName name="solver_neg" localSheetId="6" hidden="1">1</definedName>
    <definedName name="solver_neg" localSheetId="7" hidden="1">1</definedName>
    <definedName name="solver_neg" localSheetId="9" hidden="1">1</definedName>
    <definedName name="solver_nod" localSheetId="0" hidden="1">2147483647</definedName>
    <definedName name="solver_nod" localSheetId="6" hidden="1">2147483647</definedName>
    <definedName name="solver_nod" localSheetId="7" hidden="1">2147483647</definedName>
    <definedName name="solver_nod" localSheetId="9" hidden="1">2147483647</definedName>
    <definedName name="solver_num" localSheetId="0" hidden="1">1</definedName>
    <definedName name="solver_num" localSheetId="6" hidden="1">0</definedName>
    <definedName name="solver_num" localSheetId="7" hidden="1">0</definedName>
    <definedName name="solver_num" localSheetId="9" hidden="1">0</definedName>
    <definedName name="solver_nwt" localSheetId="0" hidden="1">1</definedName>
    <definedName name="solver_opt" localSheetId="0" hidden="1">'Saturated Water'!$AQ$22</definedName>
    <definedName name="solver_opt" localSheetId="6" hidden="1">Sheet3!$S$20</definedName>
    <definedName name="solver_opt" localSheetId="7" hidden="1">Sheet4!$S$20</definedName>
    <definedName name="solver_opt" localSheetId="9" hidden="1">VaryFire!$S$20</definedName>
    <definedName name="solver_pre" localSheetId="0" hidden="1">0.000001</definedName>
    <definedName name="solver_pre" localSheetId="6" hidden="1">0.000001</definedName>
    <definedName name="solver_pre" localSheetId="7" hidden="1">0.000001</definedName>
    <definedName name="solver_pre" localSheetId="9" hidden="1">0.000001</definedName>
    <definedName name="solver_rbv" localSheetId="0" hidden="1">1</definedName>
    <definedName name="solver_rbv" localSheetId="6" hidden="1">1</definedName>
    <definedName name="solver_rbv" localSheetId="7" hidden="1">1</definedName>
    <definedName name="solver_rbv" localSheetId="9" hidden="1">1</definedName>
    <definedName name="solver_rel1" localSheetId="0" hidden="1">3</definedName>
    <definedName name="solver_rhs1" localSheetId="0" hidden="1">1</definedName>
    <definedName name="solver_rlx" localSheetId="0" hidden="1">1</definedName>
    <definedName name="solver_rlx" localSheetId="6" hidden="1">2</definedName>
    <definedName name="solver_rlx" localSheetId="7" hidden="1">2</definedName>
    <definedName name="solver_rlx" localSheetId="9" hidden="1">2</definedName>
    <definedName name="solver_rsd" localSheetId="0" hidden="1">0</definedName>
    <definedName name="solver_rsd" localSheetId="6" hidden="1">0</definedName>
    <definedName name="solver_rsd" localSheetId="7" hidden="1">0</definedName>
    <definedName name="solver_rsd" localSheetId="9" hidden="1">0</definedName>
    <definedName name="solver_scl" localSheetId="0" hidden="1">2</definedName>
    <definedName name="solver_scl" localSheetId="6" hidden="1">1</definedName>
    <definedName name="solver_scl" localSheetId="7" hidden="1">1</definedName>
    <definedName name="solver_scl" localSheetId="9" hidden="1">1</definedName>
    <definedName name="solver_sho" localSheetId="0" hidden="1">2</definedName>
    <definedName name="solver_sho" localSheetId="6" hidden="1">2</definedName>
    <definedName name="solver_sho" localSheetId="7" hidden="1">2</definedName>
    <definedName name="solver_sho" localSheetId="9" hidden="1">2</definedName>
    <definedName name="solver_ssz" localSheetId="0" hidden="1">100</definedName>
    <definedName name="solver_ssz" localSheetId="6" hidden="1">100</definedName>
    <definedName name="solver_ssz" localSheetId="7" hidden="1">100</definedName>
    <definedName name="solver_ssz" localSheetId="9" hidden="1">100</definedName>
    <definedName name="solver_tim" localSheetId="0" hidden="1">100</definedName>
    <definedName name="solver_tim" localSheetId="6" hidden="1">2147483647</definedName>
    <definedName name="solver_tim" localSheetId="7" hidden="1">2147483647</definedName>
    <definedName name="solver_tim" localSheetId="9" hidden="1">2147483647</definedName>
    <definedName name="solver_tol" localSheetId="0" hidden="1">0.05</definedName>
    <definedName name="solver_tol" localSheetId="6" hidden="1">0.01</definedName>
    <definedName name="solver_tol" localSheetId="7" hidden="1">0.01</definedName>
    <definedName name="solver_tol" localSheetId="9" hidden="1">0.01</definedName>
    <definedName name="solver_typ" localSheetId="0" hidden="1">2</definedName>
    <definedName name="solver_typ" localSheetId="6" hidden="1">2</definedName>
    <definedName name="solver_typ" localSheetId="7" hidden="1">2</definedName>
    <definedName name="solver_typ" localSheetId="9" hidden="1">2</definedName>
    <definedName name="solver_val" localSheetId="0" hidden="1">35.5</definedName>
    <definedName name="solver_val" localSheetId="6" hidden="1">0</definedName>
    <definedName name="solver_val" localSheetId="7" hidden="1">0</definedName>
    <definedName name="solver_val" localSheetId="9" hidden="1">0</definedName>
    <definedName name="solver_ver" localSheetId="0" hidden="1">2</definedName>
    <definedName name="solver_ver" localSheetId="6" hidden="1">2</definedName>
    <definedName name="solver_ver" localSheetId="7" hidden="1">2</definedName>
    <definedName name="solver_ver" localSheetId="9" hidden="1">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1" i="12" l="1"/>
  <c r="E21" i="12"/>
  <c r="B11" i="11" l="1"/>
  <c r="J11" i="11" s="1"/>
  <c r="A11" i="11"/>
  <c r="A12" i="11" s="1"/>
  <c r="A13" i="11" s="1"/>
  <c r="A15" i="11"/>
  <c r="E11" i="11"/>
  <c r="E12" i="11" s="1"/>
  <c r="E16" i="11"/>
  <c r="E17" i="11" s="1"/>
  <c r="E18" i="11" s="1"/>
  <c r="D16" i="11"/>
  <c r="D17" i="11" s="1"/>
  <c r="D18" i="11" s="1"/>
  <c r="J10" i="11"/>
  <c r="D11" i="11"/>
  <c r="D12" i="11" s="1"/>
  <c r="D13" i="11" s="1"/>
  <c r="B5" i="11"/>
  <c r="C11" i="11"/>
  <c r="F11" i="11"/>
  <c r="C10" i="11"/>
  <c r="F10" i="11" s="1"/>
  <c r="G10" i="11"/>
  <c r="G11" i="11"/>
  <c r="C21" i="12" a="1"/>
  <c r="C21" i="12" l="1"/>
  <c r="I21" i="12" s="1"/>
  <c r="E13" i="11"/>
  <c r="A17" i="11"/>
  <c r="A16" i="11"/>
  <c r="B12" i="11"/>
  <c r="P11" i="11"/>
  <c r="Q11" i="11" s="1"/>
  <c r="P10" i="11"/>
  <c r="Q10" i="11" s="1"/>
  <c r="B15" i="11"/>
  <c r="B16" i="11"/>
  <c r="L10" i="11"/>
  <c r="L11" i="11"/>
  <c r="K10" i="11"/>
  <c r="K11" i="11"/>
  <c r="I10" i="11"/>
  <c r="I11" i="11"/>
  <c r="H10" i="11"/>
  <c r="H11" i="11"/>
  <c r="C15" i="11"/>
  <c r="F15" i="11" s="1"/>
  <c r="G15" i="11"/>
  <c r="C16" i="11"/>
  <c r="F16" i="11" s="1"/>
  <c r="G16" i="11" s="1"/>
  <c r="H15" i="11"/>
  <c r="H16" i="11"/>
  <c r="B13" i="11" l="1"/>
  <c r="J12" i="11"/>
  <c r="A18" i="11"/>
  <c r="L16" i="11"/>
  <c r="L15" i="11"/>
  <c r="K16" i="11"/>
  <c r="K15" i="11"/>
  <c r="I16" i="11"/>
  <c r="I15" i="11"/>
  <c r="J16" i="11"/>
  <c r="J15" i="11"/>
  <c r="M10" i="11"/>
  <c r="M11" i="11"/>
  <c r="C12" i="11"/>
  <c r="F12" i="11"/>
  <c r="G12" i="11" s="1"/>
  <c r="B17" i="11" l="1"/>
  <c r="L12" i="11"/>
  <c r="J13" i="11"/>
  <c r="K12" i="11"/>
  <c r="I12" i="11"/>
  <c r="M12" i="11" s="1"/>
  <c r="P12" i="11"/>
  <c r="Q12" i="11" s="1"/>
  <c r="M15" i="11"/>
  <c r="N10" i="11" s="1"/>
  <c r="R10" i="11" s="1"/>
  <c r="M16" i="11"/>
  <c r="N11" i="11" s="1"/>
  <c r="R11" i="11" s="1"/>
  <c r="H12" i="11"/>
  <c r="C13" i="11"/>
  <c r="F13" i="11" s="1"/>
  <c r="G13" i="11" s="1"/>
  <c r="L13" i="11" l="1"/>
  <c r="B18" i="11"/>
  <c r="J18" i="11" s="1"/>
  <c r="J17" i="11"/>
  <c r="K13" i="11"/>
  <c r="P13" i="11"/>
  <c r="Q13" i="11" s="1"/>
  <c r="I13" i="11"/>
  <c r="R4" i="10"/>
  <c r="D4" i="10"/>
  <c r="D5" i="10" s="1"/>
  <c r="D6" i="10" s="1"/>
  <c r="J6" i="10"/>
  <c r="J5" i="10"/>
  <c r="J4" i="10"/>
  <c r="H13" i="11"/>
  <c r="C17" i="11"/>
  <c r="C18" i="11"/>
  <c r="N4" i="10"/>
  <c r="F17" i="11"/>
  <c r="F18" i="11"/>
  <c r="H17" i="11"/>
  <c r="G17" i="11"/>
  <c r="H18" i="11"/>
  <c r="G18" i="11"/>
  <c r="L18" i="11" l="1"/>
  <c r="L17" i="11"/>
  <c r="K18" i="11"/>
  <c r="K17" i="11"/>
  <c r="I18" i="11"/>
  <c r="M18" i="11" s="1"/>
  <c r="N13" i="11" s="1"/>
  <c r="R13" i="11" s="1"/>
  <c r="I17" i="11"/>
  <c r="M17" i="11" s="1"/>
  <c r="N12" i="11" s="1"/>
  <c r="R12" i="11" s="1"/>
  <c r="M13" i="11"/>
  <c r="O4" i="10"/>
  <c r="Q4" i="10"/>
  <c r="S4" i="10" s="1"/>
  <c r="P4" i="10"/>
  <c r="B22" i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C5" i="10"/>
  <c r="C4" i="10"/>
  <c r="C6" i="10"/>
  <c r="F4" i="10"/>
  <c r="F6" i="10"/>
  <c r="F5" i="10"/>
  <c r="G4" i="10"/>
  <c r="I4" i="10" l="1"/>
  <c r="I6" i="10"/>
  <c r="I5" i="10"/>
  <c r="T4" i="10"/>
  <c r="K6" i="10"/>
  <c r="K5" i="10"/>
  <c r="L4" i="10"/>
  <c r="K4" i="10"/>
  <c r="M4" i="10" s="1"/>
  <c r="BK27" i="1"/>
  <c r="BL27" i="1" s="1"/>
  <c r="BM27" i="1" s="1"/>
  <c r="BC27" i="1"/>
  <c r="AX27" i="1"/>
  <c r="BD27" i="1" s="1"/>
  <c r="E21" i="1"/>
  <c r="AC21" i="1" s="1"/>
  <c r="AD21" i="1" s="1"/>
  <c r="AB21" i="1"/>
  <c r="D40" i="1"/>
  <c r="D22" i="6"/>
  <c r="C22" i="9"/>
  <c r="A23" i="9"/>
  <c r="C6" i="9"/>
  <c r="B22" i="9" s="1"/>
  <c r="C7" i="9"/>
  <c r="N62" i="9"/>
  <c r="D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C7" i="8"/>
  <c r="C6" i="8"/>
  <c r="D22" i="8"/>
  <c r="E22" i="8" s="1"/>
  <c r="C7" i="6"/>
  <c r="C22" i="6"/>
  <c r="A23" i="6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C6" i="6"/>
  <c r="B22" i="6" s="1"/>
  <c r="E22" i="6"/>
  <c r="E62" i="9"/>
  <c r="T8" i="9"/>
  <c r="T9" i="9"/>
  <c r="T10" i="9"/>
  <c r="T11" i="9"/>
  <c r="T12" i="9" s="1"/>
  <c r="T13" i="9" s="1"/>
  <c r="T14" i="9" s="1"/>
  <c r="T15" i="9" s="1"/>
  <c r="T16" i="9" s="1"/>
  <c r="T17" i="9" s="1"/>
  <c r="N22" i="9"/>
  <c r="C16" i="9"/>
  <c r="C11" i="9"/>
  <c r="C12" i="9" s="1"/>
  <c r="A23" i="8"/>
  <c r="A24" i="8" s="1"/>
  <c r="A25" i="8" s="1"/>
  <c r="L1" i="9"/>
  <c r="K1" i="9"/>
  <c r="C22" i="8"/>
  <c r="B22" i="8"/>
  <c r="AE62" i="8"/>
  <c r="AD62" i="8"/>
  <c r="AE61" i="8"/>
  <c r="AD61" i="8"/>
  <c r="AE60" i="8"/>
  <c r="AD60" i="8"/>
  <c r="AE59" i="8"/>
  <c r="AD59" i="8"/>
  <c r="AE58" i="8"/>
  <c r="AD58" i="8"/>
  <c r="AE57" i="8"/>
  <c r="AD57" i="8"/>
  <c r="AE56" i="8"/>
  <c r="AD56" i="8"/>
  <c r="AE55" i="8"/>
  <c r="AD55" i="8"/>
  <c r="AE54" i="8"/>
  <c r="AD54" i="8"/>
  <c r="AE53" i="8"/>
  <c r="AD53" i="8"/>
  <c r="AE52" i="8"/>
  <c r="AD52" i="8"/>
  <c r="AE51" i="8"/>
  <c r="AD51" i="8"/>
  <c r="AE50" i="8"/>
  <c r="AD50" i="8"/>
  <c r="AE49" i="8"/>
  <c r="AD49" i="8"/>
  <c r="AE48" i="8"/>
  <c r="AD48" i="8"/>
  <c r="AE47" i="8"/>
  <c r="AD47" i="8"/>
  <c r="AE46" i="8"/>
  <c r="AD46" i="8"/>
  <c r="AE45" i="8"/>
  <c r="AD45" i="8"/>
  <c r="AE44" i="8"/>
  <c r="AD44" i="8"/>
  <c r="AE43" i="8"/>
  <c r="AD43" i="8"/>
  <c r="AE42" i="8"/>
  <c r="AD42" i="8"/>
  <c r="AE41" i="8"/>
  <c r="AD41" i="8"/>
  <c r="AE40" i="8"/>
  <c r="AD40" i="8"/>
  <c r="AE39" i="8"/>
  <c r="AD39" i="8"/>
  <c r="AE38" i="8"/>
  <c r="AD38" i="8"/>
  <c r="AE37" i="8"/>
  <c r="AD37" i="8"/>
  <c r="AE36" i="8"/>
  <c r="AD36" i="8"/>
  <c r="AE35" i="8"/>
  <c r="AD35" i="8"/>
  <c r="AE34" i="8"/>
  <c r="AD34" i="8"/>
  <c r="AE33" i="8"/>
  <c r="AD33" i="8"/>
  <c r="AE32" i="8"/>
  <c r="AD32" i="8"/>
  <c r="AE31" i="8"/>
  <c r="AD31" i="8"/>
  <c r="AE30" i="8"/>
  <c r="AD30" i="8"/>
  <c r="AE29" i="8"/>
  <c r="AD29" i="8"/>
  <c r="AE28" i="8"/>
  <c r="AD28" i="8"/>
  <c r="AE27" i="8"/>
  <c r="AD27" i="8"/>
  <c r="AE26" i="8"/>
  <c r="AD26" i="8"/>
  <c r="AE25" i="8"/>
  <c r="AD25" i="8"/>
  <c r="AE24" i="8"/>
  <c r="AD24" i="8"/>
  <c r="AC24" i="8"/>
  <c r="AE23" i="8"/>
  <c r="AD23" i="8"/>
  <c r="AC23" i="8"/>
  <c r="AC22" i="8"/>
  <c r="L1" i="6"/>
  <c r="K1" i="6"/>
  <c r="T8" i="8"/>
  <c r="T9" i="8" s="1"/>
  <c r="T10" i="8" s="1"/>
  <c r="T11" i="8" s="1"/>
  <c r="T12" i="8" s="1"/>
  <c r="T13" i="8" s="1"/>
  <c r="T14" i="8" s="1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N22" i="8"/>
  <c r="C16" i="8"/>
  <c r="C11" i="8"/>
  <c r="C12" i="8"/>
  <c r="W6" i="8"/>
  <c r="V6" i="8"/>
  <c r="V6" i="6"/>
  <c r="N22" i="6"/>
  <c r="T8" i="6"/>
  <c r="T9" i="6" s="1"/>
  <c r="T10" i="6"/>
  <c r="T11" i="6" s="1"/>
  <c r="T12" i="6" s="1"/>
  <c r="T13" i="6" s="1"/>
  <c r="T14" i="6" s="1"/>
  <c r="T15" i="6" s="1"/>
  <c r="T16" i="6" s="1"/>
  <c r="T17" i="6" s="1"/>
  <c r="T18" i="6" s="1"/>
  <c r="T19" i="6" s="1"/>
  <c r="T20" i="6" s="1"/>
  <c r="T21" i="6" s="1"/>
  <c r="T22" i="6" s="1"/>
  <c r="T23" i="6" s="1"/>
  <c r="T24" i="6" s="1"/>
  <c r="T25" i="6" s="1"/>
  <c r="T26" i="6" s="1"/>
  <c r="T27" i="6" s="1"/>
  <c r="T28" i="6" s="1"/>
  <c r="T29" i="6" s="1"/>
  <c r="T30" i="6" s="1"/>
  <c r="T31" i="6" s="1"/>
  <c r="T32" i="6" s="1"/>
  <c r="T33" i="6" s="1"/>
  <c r="T34" i="6" s="1"/>
  <c r="T35" i="6" s="1"/>
  <c r="T36" i="6" s="1"/>
  <c r="T37" i="6" s="1"/>
  <c r="W6" i="6"/>
  <c r="C16" i="6"/>
  <c r="C11" i="6"/>
  <c r="C12" i="6" s="1"/>
  <c r="H82" i="4"/>
  <c r="Q74" i="4"/>
  <c r="S74" i="4" s="1"/>
  <c r="T74" i="4" s="1"/>
  <c r="U74" i="4" s="1"/>
  <c r="H81" i="4"/>
  <c r="S81" i="4" s="1"/>
  <c r="U81" i="4" s="1"/>
  <c r="L78" i="4"/>
  <c r="S78" i="4" s="1"/>
  <c r="T78" i="4" s="1"/>
  <c r="U78" i="4" s="1"/>
  <c r="L77" i="4"/>
  <c r="S77" i="4" s="1"/>
  <c r="U77" i="4" s="1"/>
  <c r="Q73" i="4"/>
  <c r="S73" i="4" s="1"/>
  <c r="U73" i="4" s="1"/>
  <c r="P74" i="4"/>
  <c r="V74" i="4" s="1"/>
  <c r="W74" i="4" s="1"/>
  <c r="V81" i="4"/>
  <c r="P73" i="4"/>
  <c r="V73" i="4" s="1"/>
  <c r="W73" i="4" s="1"/>
  <c r="X73" i="4" s="1"/>
  <c r="K78" i="4"/>
  <c r="V78" i="4"/>
  <c r="K77" i="4"/>
  <c r="V77" i="4"/>
  <c r="X74" i="4"/>
  <c r="H80" i="4"/>
  <c r="S80" i="4" s="1"/>
  <c r="Q72" i="4"/>
  <c r="S72" i="4" s="1"/>
  <c r="T72" i="4" s="1"/>
  <c r="U72" i="4" s="1"/>
  <c r="L76" i="4"/>
  <c r="S76" i="4"/>
  <c r="V80" i="4"/>
  <c r="P72" i="4"/>
  <c r="V72" i="4" s="1"/>
  <c r="K76" i="4"/>
  <c r="V76" i="4" s="1"/>
  <c r="W76" i="4" s="1"/>
  <c r="X76" i="4" s="1"/>
  <c r="W72" i="4"/>
  <c r="X72" i="4" s="1"/>
  <c r="J49" i="4"/>
  <c r="K49" i="4" s="1"/>
  <c r="L49" i="4" s="1"/>
  <c r="M49" i="4" s="1"/>
  <c r="N49" i="4" s="1"/>
  <c r="O49" i="4" s="1"/>
  <c r="P49" i="4" s="1"/>
  <c r="Q49" i="4" s="1"/>
  <c r="Q82" i="4"/>
  <c r="P82" i="4"/>
  <c r="O82" i="4"/>
  <c r="N82" i="4"/>
  <c r="M82" i="4"/>
  <c r="L82" i="4"/>
  <c r="K82" i="4"/>
  <c r="J82" i="4"/>
  <c r="I82" i="4"/>
  <c r="Q78" i="4"/>
  <c r="P78" i="4"/>
  <c r="O78" i="4"/>
  <c r="N78" i="4"/>
  <c r="M78" i="4"/>
  <c r="J78" i="4"/>
  <c r="I78" i="4"/>
  <c r="H78" i="4"/>
  <c r="O74" i="4"/>
  <c r="N74" i="4"/>
  <c r="M74" i="4"/>
  <c r="L74" i="4"/>
  <c r="K74" i="4"/>
  <c r="J74" i="4"/>
  <c r="I74" i="4"/>
  <c r="H74" i="4"/>
  <c r="B7" i="4"/>
  <c r="C21" i="4" s="1"/>
  <c r="C7" i="4"/>
  <c r="B10" i="4"/>
  <c r="G51" i="4"/>
  <c r="G52" i="4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B21" i="5"/>
  <c r="C6" i="5"/>
  <c r="J32" i="4"/>
  <c r="J71" i="4" s="1"/>
  <c r="C27" i="4"/>
  <c r="Q81" i="4"/>
  <c r="P81" i="4"/>
  <c r="O81" i="4"/>
  <c r="N81" i="4"/>
  <c r="M81" i="4"/>
  <c r="L81" i="4"/>
  <c r="K81" i="4"/>
  <c r="J81" i="4"/>
  <c r="I81" i="4"/>
  <c r="Q80" i="4"/>
  <c r="P80" i="4"/>
  <c r="O80" i="4"/>
  <c r="N80" i="4"/>
  <c r="M80" i="4"/>
  <c r="L80" i="4"/>
  <c r="K80" i="4"/>
  <c r="J80" i="4"/>
  <c r="I80" i="4"/>
  <c r="Q77" i="4"/>
  <c r="P77" i="4"/>
  <c r="O77" i="4"/>
  <c r="N77" i="4"/>
  <c r="M77" i="4"/>
  <c r="J77" i="4"/>
  <c r="I77" i="4"/>
  <c r="Q76" i="4"/>
  <c r="P76" i="4"/>
  <c r="O76" i="4"/>
  <c r="N76" i="4"/>
  <c r="M76" i="4"/>
  <c r="J76" i="4"/>
  <c r="I76" i="4"/>
  <c r="O73" i="4"/>
  <c r="N73" i="4"/>
  <c r="M73" i="4"/>
  <c r="L73" i="4"/>
  <c r="K73" i="4"/>
  <c r="J73" i="4"/>
  <c r="I73" i="4"/>
  <c r="O72" i="4"/>
  <c r="N72" i="4"/>
  <c r="M72" i="4"/>
  <c r="L72" i="4"/>
  <c r="K72" i="4"/>
  <c r="J72" i="4"/>
  <c r="I72" i="4"/>
  <c r="H77" i="4"/>
  <c r="H76" i="4"/>
  <c r="H73" i="4"/>
  <c r="H72" i="4"/>
  <c r="G34" i="4"/>
  <c r="G35" i="4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J15" i="4"/>
  <c r="K15" i="4"/>
  <c r="L15" i="4" s="1"/>
  <c r="M15" i="4" s="1"/>
  <c r="N15" i="4" s="1"/>
  <c r="O15" i="4" s="1"/>
  <c r="P15" i="4" s="1"/>
  <c r="Q15" i="4" s="1"/>
  <c r="B6" i="4"/>
  <c r="C6" i="4"/>
  <c r="C17" i="4"/>
  <c r="C18" i="4" s="1"/>
  <c r="C19" i="4" s="1"/>
  <c r="C20" i="4" s="1"/>
  <c r="G15" i="4" s="1"/>
  <c r="C13" i="4"/>
  <c r="G17" i="4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B3" i="4"/>
  <c r="B47" i="3"/>
  <c r="B73" i="3" s="1"/>
  <c r="A47" i="3"/>
  <c r="A73" i="3" s="1"/>
  <c r="B22" i="3"/>
  <c r="B23" i="3" s="1"/>
  <c r="B24" i="3" s="1"/>
  <c r="B25" i="3" s="1"/>
  <c r="B26" i="3" s="1"/>
  <c r="A22" i="3"/>
  <c r="A23" i="3" s="1"/>
  <c r="A24" i="3"/>
  <c r="A25" i="3" s="1"/>
  <c r="A51" i="3" s="1"/>
  <c r="B49" i="3"/>
  <c r="B75" i="3" s="1"/>
  <c r="A49" i="3"/>
  <c r="C49" i="3" s="1"/>
  <c r="A75" i="3"/>
  <c r="B48" i="3"/>
  <c r="B74" i="3" s="1"/>
  <c r="A48" i="3"/>
  <c r="A74" i="3"/>
  <c r="A100" i="3" s="1"/>
  <c r="C100" i="3" s="1"/>
  <c r="C74" i="3"/>
  <c r="C48" i="3"/>
  <c r="C47" i="3"/>
  <c r="C24" i="3"/>
  <c r="C23" i="3"/>
  <c r="E23" i="1"/>
  <c r="AC23" i="1" s="1"/>
  <c r="E22" i="1"/>
  <c r="AC22" i="1" s="1"/>
  <c r="A2" i="2"/>
  <c r="A2" i="3" s="1"/>
  <c r="B3" i="3"/>
  <c r="B3" i="2"/>
  <c r="C22" i="3"/>
  <c r="C21" i="3"/>
  <c r="B12" i="3"/>
  <c r="D12" i="1"/>
  <c r="A31" i="2"/>
  <c r="A39" i="2" s="1"/>
  <c r="E20" i="2"/>
  <c r="F20" i="2" s="1"/>
  <c r="E21" i="2"/>
  <c r="D21" i="2"/>
  <c r="B12" i="2"/>
  <c r="F21" i="2" l="1"/>
  <c r="G20" i="2"/>
  <c r="G21" i="2" s="1"/>
  <c r="C51" i="3"/>
  <c r="A77" i="3"/>
  <c r="B27" i="3"/>
  <c r="B52" i="3"/>
  <c r="T80" i="4"/>
  <c r="U80" i="4" s="1"/>
  <c r="B50" i="3"/>
  <c r="B76" i="3" s="1"/>
  <c r="B102" i="3" s="1"/>
  <c r="B51" i="3"/>
  <c r="B77" i="3" s="1"/>
  <c r="A26" i="3"/>
  <c r="T76" i="4"/>
  <c r="U76" i="4" s="1"/>
  <c r="W77" i="4"/>
  <c r="X77" i="4" s="1"/>
  <c r="C25" i="3"/>
  <c r="A126" i="3"/>
  <c r="A50" i="3"/>
  <c r="W80" i="4"/>
  <c r="X80" i="4" s="1"/>
  <c r="AY27" i="1"/>
  <c r="M6" i="10"/>
  <c r="M5" i="10"/>
  <c r="A47" i="2"/>
  <c r="A152" i="3"/>
  <c r="C126" i="3"/>
  <c r="A103" i="3"/>
  <c r="C77" i="3"/>
  <c r="B100" i="3"/>
  <c r="A101" i="3"/>
  <c r="C75" i="3"/>
  <c r="B103" i="3"/>
  <c r="B78" i="3"/>
  <c r="H20" i="2"/>
  <c r="B101" i="3"/>
  <c r="B128" i="3"/>
  <c r="AJ22" i="1"/>
  <c r="AM22" i="1" s="1"/>
  <c r="AD22" i="1"/>
  <c r="A99" i="3"/>
  <c r="C73" i="3"/>
  <c r="AC25" i="8"/>
  <c r="A26" i="8"/>
  <c r="AD23" i="1"/>
  <c r="AJ23" i="1"/>
  <c r="AM23" i="1" s="1"/>
  <c r="B99" i="3"/>
  <c r="S82" i="4"/>
  <c r="T82" i="4" s="1"/>
  <c r="U82" i="4" s="1"/>
  <c r="V82" i="4"/>
  <c r="W82" i="4" s="1"/>
  <c r="X82" i="4" s="1"/>
  <c r="C22" i="4"/>
  <c r="G49" i="4" s="1"/>
  <c r="C23" i="4"/>
  <c r="G32" i="4" s="1"/>
  <c r="W78" i="4"/>
  <c r="X78" i="4" s="1"/>
  <c r="W81" i="4"/>
  <c r="X81" i="4" s="1"/>
  <c r="K32" i="4"/>
  <c r="B23" i="9"/>
  <c r="A24" i="9"/>
  <c r="AB23" i="1"/>
  <c r="AJ21" i="1"/>
  <c r="AM21" i="1" s="1"/>
  <c r="AB22" i="1"/>
  <c r="A76" i="3" l="1"/>
  <c r="C50" i="3"/>
  <c r="A27" i="3"/>
  <c r="A52" i="3"/>
  <c r="C26" i="3"/>
  <c r="AZ27" i="1"/>
  <c r="BF27" i="1" s="1"/>
  <c r="BE27" i="1"/>
  <c r="B28" i="3"/>
  <c r="B53" i="3"/>
  <c r="B79" i="3" s="1"/>
  <c r="B105" i="3" s="1"/>
  <c r="B131" i="3" s="1"/>
  <c r="B157" i="3" s="1"/>
  <c r="C23" i="9"/>
  <c r="L32" i="4"/>
  <c r="K71" i="4"/>
  <c r="B127" i="3"/>
  <c r="B104" i="3"/>
  <c r="B129" i="3"/>
  <c r="A129" i="3"/>
  <c r="C103" i="3"/>
  <c r="A55" i="2"/>
  <c r="B126" i="3"/>
  <c r="B125" i="3"/>
  <c r="A125" i="3"/>
  <c r="C99" i="3"/>
  <c r="B154" i="3"/>
  <c r="H21" i="2"/>
  <c r="I20" i="2"/>
  <c r="B183" i="3"/>
  <c r="C152" i="3"/>
  <c r="A178" i="3"/>
  <c r="AB24" i="1"/>
  <c r="E24" i="1"/>
  <c r="B24" i="9"/>
  <c r="A25" i="9"/>
  <c r="AC26" i="8"/>
  <c r="A27" i="8"/>
  <c r="A127" i="3"/>
  <c r="C101" i="3"/>
  <c r="I151" i="3"/>
  <c r="J97" i="3"/>
  <c r="K125" i="3"/>
  <c r="L150" i="3"/>
  <c r="D125" i="3"/>
  <c r="M229" i="3"/>
  <c r="D228" i="3"/>
  <c r="F121" i="3"/>
  <c r="G147" i="3"/>
  <c r="H93" i="3"/>
  <c r="J73" i="3"/>
  <c r="J229" i="3"/>
  <c r="K175" i="3"/>
  <c r="F69" i="3"/>
  <c r="M200" i="3"/>
  <c r="D93" i="3"/>
  <c r="G98" i="3"/>
  <c r="D202" i="3"/>
  <c r="F281" i="3"/>
  <c r="G174" i="3"/>
  <c r="H94" i="3"/>
  <c r="I305" i="3"/>
  <c r="F202" i="3"/>
  <c r="J305" i="3"/>
  <c r="I145" i="3"/>
  <c r="J171" i="3"/>
  <c r="G65" i="3"/>
  <c r="L90" i="3"/>
  <c r="M116" i="3"/>
  <c r="M99" i="3"/>
  <c r="F147" i="3"/>
  <c r="G5" i="10"/>
  <c r="M151" i="3"/>
  <c r="M71" i="3"/>
  <c r="F151" i="3"/>
  <c r="G97" i="3"/>
  <c r="M125" i="3"/>
  <c r="H255" i="3"/>
  <c r="I228" i="3"/>
  <c r="J121" i="3"/>
  <c r="K147" i="3"/>
  <c r="L93" i="3"/>
  <c r="H125" i="3"/>
  <c r="D255" i="3"/>
  <c r="F228" i="3"/>
  <c r="G121" i="3"/>
  <c r="H147" i="3"/>
  <c r="I93" i="3"/>
  <c r="L72" i="3"/>
  <c r="I202" i="3"/>
  <c r="J281" i="3"/>
  <c r="K174" i="3"/>
  <c r="L94" i="3"/>
  <c r="M305" i="3"/>
  <c r="M149" i="3"/>
  <c r="H199" i="3"/>
  <c r="M145" i="3"/>
  <c r="D118" i="3"/>
  <c r="F276" i="3"/>
  <c r="G143" i="3"/>
  <c r="H89" i="3"/>
  <c r="I72" i="3"/>
  <c r="M94" i="3"/>
  <c r="K99" i="3"/>
  <c r="M177" i="3"/>
  <c r="C12" i="5"/>
  <c r="F177" i="3"/>
  <c r="D28" i="5"/>
  <c r="M97" i="3"/>
  <c r="J70" i="3"/>
  <c r="I148" i="3"/>
  <c r="J306" i="3"/>
  <c r="K173" i="3"/>
  <c r="L146" i="3"/>
  <c r="H97" i="3"/>
  <c r="M70" i="3"/>
  <c r="F148" i="3"/>
  <c r="G306" i="3"/>
  <c r="H173" i="3"/>
  <c r="F176" i="3"/>
  <c r="I122" i="3"/>
  <c r="J95" i="3"/>
  <c r="K253" i="3"/>
  <c r="L226" i="3"/>
  <c r="D67" i="3"/>
  <c r="M306" i="3"/>
  <c r="L278" i="3"/>
  <c r="D66" i="3"/>
  <c r="D303" i="3"/>
  <c r="F302" i="3"/>
  <c r="G222" i="3"/>
  <c r="H301" i="3"/>
  <c r="I201" i="3"/>
  <c r="K172" i="3"/>
  <c r="D151" i="3"/>
  <c r="F97" i="3"/>
  <c r="G125" i="3"/>
  <c r="H150" i="3"/>
  <c r="D73" i="3"/>
  <c r="I229" i="3"/>
  <c r="J175" i="3"/>
  <c r="G69" i="3"/>
  <c r="L200" i="3"/>
  <c r="M279" i="3"/>
  <c r="I99" i="3"/>
  <c r="F229" i="3"/>
  <c r="G175" i="3"/>
  <c r="J69" i="3"/>
  <c r="I200" i="3"/>
  <c r="J279" i="3"/>
  <c r="H151" i="3"/>
  <c r="J255" i="3"/>
  <c r="K228" i="3"/>
  <c r="L121" i="3"/>
  <c r="M147" i="3"/>
  <c r="D305" i="3"/>
  <c r="H229" i="3"/>
  <c r="L279" i="3"/>
  <c r="D145" i="3"/>
  <c r="F171" i="3"/>
  <c r="K65" i="3"/>
  <c r="H90" i="3"/>
  <c r="I116" i="3"/>
  <c r="J274" i="3"/>
  <c r="H253" i="3"/>
  <c r="H119" i="3"/>
  <c r="G22" i="8"/>
  <c r="K72" i="3"/>
  <c r="H123" i="3"/>
  <c r="I98" i="3"/>
  <c r="H71" i="3"/>
  <c r="H72" i="3"/>
  <c r="K202" i="3"/>
  <c r="L281" i="3"/>
  <c r="M174" i="3"/>
  <c r="M68" i="3"/>
  <c r="F252" i="3"/>
  <c r="M72" i="3"/>
  <c r="H202" i="3"/>
  <c r="I281" i="3"/>
  <c r="J174" i="3"/>
  <c r="K94" i="3"/>
  <c r="L305" i="3"/>
  <c r="L177" i="3"/>
  <c r="L149" i="3"/>
  <c r="M254" i="3"/>
  <c r="D280" i="3"/>
  <c r="F120" i="3"/>
  <c r="G199" i="3"/>
  <c r="G281" i="3"/>
  <c r="F172" i="3"/>
  <c r="G251" i="3"/>
  <c r="H91" i="3"/>
  <c r="I223" i="3"/>
  <c r="J196" i="3"/>
  <c r="K142" i="3"/>
  <c r="L229" i="3"/>
  <c r="G93" i="3"/>
  <c r="F22" i="6"/>
  <c r="G72" i="3"/>
  <c r="L123" i="3"/>
  <c r="M98" i="3"/>
  <c r="D123" i="3"/>
  <c r="I124" i="3"/>
  <c r="F149" i="3"/>
  <c r="G254" i="3"/>
  <c r="H227" i="3"/>
  <c r="I68" i="3"/>
  <c r="J252" i="3"/>
  <c r="D72" i="3"/>
  <c r="L202" i="3"/>
  <c r="M281" i="3"/>
  <c r="D227" i="3"/>
  <c r="L68" i="3"/>
  <c r="G252" i="3"/>
  <c r="K203" i="3"/>
  <c r="G96" i="3"/>
  <c r="H201" i="3"/>
  <c r="I280" i="3"/>
  <c r="J120" i="3"/>
  <c r="K199" i="3"/>
  <c r="D201" i="3"/>
  <c r="J172" i="3"/>
  <c r="K251" i="3"/>
  <c r="L91" i="3"/>
  <c r="M223" i="3"/>
  <c r="D249" i="3"/>
  <c r="F195" i="3"/>
  <c r="J202" i="3"/>
  <c r="D252" i="3"/>
  <c r="J125" i="3"/>
  <c r="K150" i="3"/>
  <c r="G73" i="3"/>
  <c r="M203" i="3"/>
  <c r="M73" i="3"/>
  <c r="D229" i="3"/>
  <c r="F175" i="3"/>
  <c r="K69" i="3"/>
  <c r="H200" i="3"/>
  <c r="I279" i="3"/>
  <c r="J22" i="6"/>
  <c r="J176" i="3"/>
  <c r="L122" i="3"/>
  <c r="M95" i="3"/>
  <c r="D200" i="3"/>
  <c r="F279" i="3"/>
  <c r="I125" i="3"/>
  <c r="F255" i="3"/>
  <c r="G228" i="3"/>
  <c r="H121" i="3"/>
  <c r="I147" i="3"/>
  <c r="J93" i="3"/>
  <c r="G71" i="3"/>
  <c r="D226" i="3"/>
  <c r="J92" i="3"/>
  <c r="K277" i="3"/>
  <c r="L250" i="3"/>
  <c r="D64" i="3"/>
  <c r="D116" i="3"/>
  <c r="F274" i="3"/>
  <c r="J280" i="3"/>
  <c r="F62" i="9"/>
  <c r="L98" i="3"/>
  <c r="D71" i="3"/>
  <c r="D98" i="3"/>
  <c r="L71" i="3"/>
  <c r="K98" i="3"/>
  <c r="G202" i="3"/>
  <c r="H281" i="3"/>
  <c r="I174" i="3"/>
  <c r="J94" i="3"/>
  <c r="K305" i="3"/>
  <c r="F98" i="3"/>
  <c r="M255" i="3"/>
  <c r="D281" i="3"/>
  <c r="F174" i="3"/>
  <c r="G94" i="3"/>
  <c r="H305" i="3"/>
  <c r="M124" i="3"/>
  <c r="H149" i="3"/>
  <c r="I254" i="3"/>
  <c r="J227" i="3"/>
  <c r="G68" i="3"/>
  <c r="L252" i="3"/>
  <c r="I175" i="3"/>
  <c r="H67" i="3"/>
  <c r="L304" i="3"/>
  <c r="M118" i="3"/>
  <c r="D223" i="3"/>
  <c r="F196" i="3"/>
  <c r="G142" i="3"/>
  <c r="J123" i="3"/>
  <c r="I226" i="3"/>
  <c r="C11" i="5"/>
  <c r="D177" i="3"/>
  <c r="G22" i="6"/>
  <c r="G124" i="3"/>
  <c r="H176" i="3"/>
  <c r="F150" i="3"/>
  <c r="I96" i="3"/>
  <c r="J201" i="3"/>
  <c r="K280" i="3"/>
  <c r="L120" i="3"/>
  <c r="M199" i="3"/>
  <c r="J203" i="3"/>
  <c r="F96" i="3"/>
  <c r="G201" i="3"/>
  <c r="H280" i="3"/>
  <c r="I120" i="3"/>
  <c r="J199" i="3"/>
  <c r="J71" i="3"/>
  <c r="H70" i="3"/>
  <c r="K148" i="3"/>
  <c r="L306" i="3"/>
  <c r="M173" i="3"/>
  <c r="M67" i="3"/>
  <c r="H174" i="3"/>
  <c r="M225" i="3"/>
  <c r="M66" i="3"/>
  <c r="F197" i="3"/>
  <c r="G117" i="3"/>
  <c r="H275" i="3"/>
  <c r="I248" i="3"/>
  <c r="M175" i="3"/>
  <c r="G67" i="3"/>
  <c r="G99" i="3"/>
  <c r="I177" i="3"/>
  <c r="Q22" i="8"/>
  <c r="K124" i="3"/>
  <c r="L176" i="3"/>
  <c r="D97" i="3"/>
  <c r="M96" i="3"/>
  <c r="D148" i="3"/>
  <c r="F306" i="3"/>
  <c r="G173" i="3"/>
  <c r="H146" i="3"/>
  <c r="I150" i="3"/>
  <c r="J96" i="3"/>
  <c r="K201" i="3"/>
  <c r="L280" i="3"/>
  <c r="M120" i="3"/>
  <c r="D146" i="3"/>
  <c r="G123" i="3"/>
  <c r="D122" i="3"/>
  <c r="F95" i="3"/>
  <c r="G253" i="3"/>
  <c r="H226" i="3"/>
  <c r="I67" i="3"/>
  <c r="F280" i="3"/>
  <c r="H278" i="3"/>
  <c r="I66" i="3"/>
  <c r="J197" i="3"/>
  <c r="K117" i="3"/>
  <c r="L275" i="3"/>
  <c r="M248" i="3"/>
  <c r="K281" i="3"/>
  <c r="G172" i="3"/>
  <c r="H98" i="3"/>
  <c r="I71" i="3"/>
  <c r="J151" i="3"/>
  <c r="K97" i="3"/>
  <c r="L151" i="3"/>
  <c r="L255" i="3"/>
  <c r="M228" i="3"/>
  <c r="D174" i="3"/>
  <c r="F94" i="3"/>
  <c r="G305" i="3"/>
  <c r="G151" i="3"/>
  <c r="I255" i="3"/>
  <c r="J228" i="3"/>
  <c r="K121" i="3"/>
  <c r="L147" i="3"/>
  <c r="M93" i="3"/>
  <c r="D124" i="3"/>
  <c r="M202" i="3"/>
  <c r="D254" i="3"/>
  <c r="F227" i="3"/>
  <c r="K68" i="3"/>
  <c r="H252" i="3"/>
  <c r="G70" i="3"/>
  <c r="K146" i="3"/>
  <c r="H304" i="3"/>
  <c r="I118" i="3"/>
  <c r="J276" i="3"/>
  <c r="K143" i="3"/>
  <c r="L89" i="3"/>
  <c r="D150" i="3"/>
  <c r="K120" i="3"/>
  <c r="Q22" i="6"/>
  <c r="J124" i="3"/>
  <c r="G62" i="9"/>
  <c r="F72" i="3"/>
  <c r="M123" i="3"/>
  <c r="G203" i="3"/>
  <c r="D96" i="3"/>
  <c r="F201" i="3"/>
  <c r="G280" i="3"/>
  <c r="H120" i="3"/>
  <c r="I199" i="3"/>
  <c r="K177" i="3"/>
  <c r="K149" i="3"/>
  <c r="L254" i="3"/>
  <c r="M227" i="3"/>
  <c r="D120" i="3"/>
  <c r="H73" i="3"/>
  <c r="L203" i="3"/>
  <c r="L99" i="3"/>
  <c r="D203" i="3"/>
  <c r="F22" i="8"/>
  <c r="K123" i="3"/>
  <c r="G122" i="3"/>
  <c r="H95" i="3"/>
  <c r="I253" i="3"/>
  <c r="J226" i="3"/>
  <c r="E40" i="1"/>
  <c r="F123" i="3"/>
  <c r="D70" i="3"/>
  <c r="D95" i="3"/>
  <c r="F253" i="3"/>
  <c r="G226" i="3"/>
  <c r="J99" i="3"/>
  <c r="G229" i="3"/>
  <c r="H175" i="3"/>
  <c r="I69" i="3"/>
  <c r="J200" i="3"/>
  <c r="K279" i="3"/>
  <c r="J98" i="3"/>
  <c r="I94" i="3"/>
  <c r="K119" i="3"/>
  <c r="L224" i="3"/>
  <c r="M303" i="3"/>
  <c r="M64" i="3"/>
  <c r="F169" i="3"/>
  <c r="K63" i="3"/>
  <c r="D121" i="3"/>
  <c r="J225" i="3"/>
  <c r="F125" i="3"/>
  <c r="G150" i="3"/>
  <c r="K73" i="3"/>
  <c r="I203" i="3"/>
  <c r="F99" i="3"/>
  <c r="I176" i="3"/>
  <c r="K122" i="3"/>
  <c r="L95" i="3"/>
  <c r="M253" i="3"/>
  <c r="D279" i="3"/>
  <c r="O40" i="1"/>
  <c r="D176" i="3"/>
  <c r="H122" i="3"/>
  <c r="I95" i="3"/>
  <c r="J253" i="3"/>
  <c r="K226" i="3"/>
  <c r="I73" i="3"/>
  <c r="K229" i="3"/>
  <c r="L175" i="3"/>
  <c r="D69" i="3"/>
  <c r="D147" i="3"/>
  <c r="F93" i="3"/>
  <c r="F203" i="3"/>
  <c r="G120" i="3"/>
  <c r="F92" i="3"/>
  <c r="G277" i="3"/>
  <c r="H250" i="3"/>
  <c r="I64" i="3"/>
  <c r="J169" i="3"/>
  <c r="G63" i="3"/>
  <c r="L174" i="3"/>
  <c r="J22" i="8"/>
  <c r="F124" i="3"/>
  <c r="I16" i="8"/>
  <c r="J72" i="3"/>
  <c r="I123" i="3"/>
  <c r="H177" i="3"/>
  <c r="J149" i="3"/>
  <c r="K254" i="3"/>
  <c r="L227" i="3"/>
  <c r="D68" i="3"/>
  <c r="D199" i="3"/>
  <c r="L124" i="3"/>
  <c r="G149" i="3"/>
  <c r="H254" i="3"/>
  <c r="I227" i="3"/>
  <c r="H68" i="3"/>
  <c r="K252" i="3"/>
  <c r="J150" i="3"/>
  <c r="K96" i="3"/>
  <c r="L201" i="3"/>
  <c r="M280" i="3"/>
  <c r="D173" i="3"/>
  <c r="F146" i="3"/>
  <c r="L148" i="3"/>
  <c r="D225" i="3"/>
  <c r="F198" i="3"/>
  <c r="G144" i="3"/>
  <c r="H170" i="3"/>
  <c r="I249" i="3"/>
  <c r="J195" i="3"/>
  <c r="H96" i="3"/>
  <c r="L199" i="3"/>
  <c r="L73" i="3"/>
  <c r="H203" i="3"/>
  <c r="H99" i="3"/>
  <c r="J177" i="3"/>
  <c r="J62" i="9"/>
  <c r="F71" i="3"/>
  <c r="F70" i="3"/>
  <c r="M148" i="3"/>
  <c r="D253" i="3"/>
  <c r="F226" i="3"/>
  <c r="K67" i="3"/>
  <c r="K71" i="3"/>
  <c r="I70" i="3"/>
  <c r="J148" i="3"/>
  <c r="K306" i="3"/>
  <c r="L173" i="3"/>
  <c r="F199" i="3"/>
  <c r="L70" i="3"/>
  <c r="H306" i="3"/>
  <c r="J146" i="3"/>
  <c r="I225" i="3"/>
  <c r="K144" i="3"/>
  <c r="M249" i="3"/>
  <c r="F122" i="3"/>
  <c r="F145" i="3"/>
  <c r="G171" i="3"/>
  <c r="J65" i="3"/>
  <c r="I90" i="3"/>
  <c r="J116" i="3"/>
  <c r="K274" i="3"/>
  <c r="M201" i="3"/>
  <c r="L172" i="3"/>
  <c r="M251" i="3"/>
  <c r="D144" i="3"/>
  <c r="F170" i="3"/>
  <c r="G249" i="3"/>
  <c r="H195" i="3"/>
  <c r="M252" i="3"/>
  <c r="F143" i="3"/>
  <c r="M88" i="3"/>
  <c r="D167" i="3"/>
  <c r="L61" i="3"/>
  <c r="G192" i="3"/>
  <c r="H112" i="3"/>
  <c r="I270" i="3"/>
  <c r="J190" i="3"/>
  <c r="L97" i="3"/>
  <c r="K250" i="3"/>
  <c r="L168" i="3"/>
  <c r="D62" i="3"/>
  <c r="D246" i="3"/>
  <c r="F86" i="3"/>
  <c r="G218" i="3"/>
  <c r="H297" i="3"/>
  <c r="D175" i="3"/>
  <c r="M276" i="3"/>
  <c r="J145" i="3"/>
  <c r="K171" i="3"/>
  <c r="F65" i="3"/>
  <c r="M90" i="3"/>
  <c r="D89" i="3"/>
  <c r="F221" i="3"/>
  <c r="K95" i="3"/>
  <c r="G225" i="3"/>
  <c r="H198" i="3"/>
  <c r="I144" i="3"/>
  <c r="J170" i="3"/>
  <c r="K249" i="3"/>
  <c r="L195" i="3"/>
  <c r="I172" i="3"/>
  <c r="M196" i="3"/>
  <c r="H141" i="3"/>
  <c r="I167" i="3"/>
  <c r="H61" i="3"/>
  <c r="K192" i="3"/>
  <c r="L112" i="3"/>
  <c r="M270" i="3"/>
  <c r="D243" i="3"/>
  <c r="K70" i="3"/>
  <c r="I276" i="3"/>
  <c r="G115" i="3"/>
  <c r="H273" i="3"/>
  <c r="I246" i="3"/>
  <c r="J86" i="3"/>
  <c r="K218" i="3"/>
  <c r="L297" i="3"/>
  <c r="L69" i="3"/>
  <c r="K170" i="3"/>
  <c r="D304" i="3"/>
  <c r="F118" i="3"/>
  <c r="G276" i="3"/>
  <c r="H143" i="3"/>
  <c r="I89" i="3"/>
  <c r="J221" i="3"/>
  <c r="I121" i="3"/>
  <c r="K225" i="3"/>
  <c r="L198" i="3"/>
  <c r="M144" i="3"/>
  <c r="D117" i="3"/>
  <c r="F275" i="3"/>
  <c r="G248" i="3"/>
  <c r="G278" i="3"/>
  <c r="K275" i="3"/>
  <c r="L141" i="3"/>
  <c r="M167" i="3"/>
  <c r="D272" i="3"/>
  <c r="F245" i="3"/>
  <c r="G85" i="3"/>
  <c r="H217" i="3"/>
  <c r="I243" i="3"/>
  <c r="H148" i="3"/>
  <c r="G170" i="3"/>
  <c r="K115" i="3"/>
  <c r="L273" i="3"/>
  <c r="M246" i="3"/>
  <c r="D139" i="3"/>
  <c r="K92" i="3"/>
  <c r="L277" i="3"/>
  <c r="M250" i="3"/>
  <c r="D90" i="3"/>
  <c r="F116" i="3"/>
  <c r="G274" i="3"/>
  <c r="F254" i="3"/>
  <c r="H172" i="3"/>
  <c r="I251" i="3"/>
  <c r="J91" i="3"/>
  <c r="K223" i="3"/>
  <c r="L196" i="3"/>
  <c r="M142" i="3"/>
  <c r="F68" i="3"/>
  <c r="J64" i="3"/>
  <c r="I88" i="3"/>
  <c r="C8" i="5"/>
  <c r="M122" i="3"/>
  <c r="F200" i="3"/>
  <c r="D99" i="3"/>
  <c r="G119" i="3"/>
  <c r="I303" i="3"/>
  <c r="K222" i="3"/>
  <c r="G95" i="3"/>
  <c r="M304" i="3"/>
  <c r="D91" i="3"/>
  <c r="F223" i="3"/>
  <c r="G196" i="3"/>
  <c r="H142" i="3"/>
  <c r="W40" i="1"/>
  <c r="D306" i="3"/>
  <c r="J278" i="3"/>
  <c r="G66" i="3"/>
  <c r="L197" i="3"/>
  <c r="M117" i="3"/>
  <c r="D222" i="3"/>
  <c r="F301" i="3"/>
  <c r="L145" i="3"/>
  <c r="G89" i="3"/>
  <c r="K194" i="3"/>
  <c r="L114" i="3"/>
  <c r="M272" i="3"/>
  <c r="D298" i="3"/>
  <c r="F138" i="3"/>
  <c r="G164" i="3"/>
  <c r="H296" i="3"/>
  <c r="J173" i="3"/>
  <c r="F64" i="3"/>
  <c r="J88" i="3"/>
  <c r="K220" i="3"/>
  <c r="L299" i="3"/>
  <c r="M139" i="3"/>
  <c r="D112" i="3"/>
  <c r="F270" i="3"/>
  <c r="J67" i="3"/>
  <c r="D196" i="3"/>
  <c r="H251" i="3"/>
  <c r="I91" i="3"/>
  <c r="J223" i="3"/>
  <c r="K196" i="3"/>
  <c r="L142" i="3"/>
  <c r="F73" i="3"/>
  <c r="L253" i="3"/>
  <c r="D119" i="3"/>
  <c r="F224" i="3"/>
  <c r="G303" i="3"/>
  <c r="H302" i="3"/>
  <c r="I222" i="3"/>
  <c r="J301" i="3"/>
  <c r="J251" i="3"/>
  <c r="D195" i="3"/>
  <c r="F247" i="3"/>
  <c r="G87" i="3"/>
  <c r="H219" i="3"/>
  <c r="I298" i="3"/>
  <c r="J138" i="3"/>
  <c r="K164" i="3"/>
  <c r="L296" i="3"/>
  <c r="I146" i="3"/>
  <c r="J143" i="3"/>
  <c r="D141" i="3"/>
  <c r="F167" i="3"/>
  <c r="K61" i="3"/>
  <c r="H192" i="3"/>
  <c r="I112" i="3"/>
  <c r="J270" i="3"/>
  <c r="H225" i="3"/>
  <c r="L249" i="3"/>
  <c r="L251" i="3"/>
  <c r="M91" i="3"/>
  <c r="D170" i="3"/>
  <c r="F249" i="3"/>
  <c r="G195" i="3"/>
  <c r="L125" i="3"/>
  <c r="J147" i="3"/>
  <c r="I119" i="3"/>
  <c r="J224" i="3"/>
  <c r="K303" i="3"/>
  <c r="L302" i="3"/>
  <c r="M222" i="3"/>
  <c r="M63" i="3"/>
  <c r="J66" i="3"/>
  <c r="L248" i="3"/>
  <c r="J247" i="3"/>
  <c r="K87" i="3"/>
  <c r="L219" i="3"/>
  <c r="M298" i="3"/>
  <c r="D191" i="3"/>
  <c r="F111" i="3"/>
  <c r="G269" i="3"/>
  <c r="M172" i="3"/>
  <c r="H249" i="3"/>
  <c r="I141" i="3"/>
  <c r="J167" i="3"/>
  <c r="G61" i="3"/>
  <c r="L192" i="3"/>
  <c r="I304" i="3"/>
  <c r="J118" i="3"/>
  <c r="K276" i="3"/>
  <c r="L143" i="3"/>
  <c r="M89" i="3"/>
  <c r="D168" i="3"/>
  <c r="G227" i="3"/>
  <c r="F278" i="3"/>
  <c r="K66" i="3"/>
  <c r="H197" i="3"/>
  <c r="I117" i="3"/>
  <c r="J275" i="3"/>
  <c r="K248" i="3"/>
  <c r="D92" i="3"/>
  <c r="I169" i="3"/>
  <c r="G194" i="3"/>
  <c r="H114" i="3"/>
  <c r="I272" i="3"/>
  <c r="J245" i="3"/>
  <c r="K85" i="3"/>
  <c r="L217" i="3"/>
  <c r="M243" i="3"/>
  <c r="I306" i="3"/>
  <c r="D302" i="3"/>
  <c r="F88" i="3"/>
  <c r="G220" i="3"/>
  <c r="H299" i="3"/>
  <c r="I139" i="3"/>
  <c r="I97" i="3"/>
  <c r="G148" i="3"/>
  <c r="I173" i="3"/>
  <c r="H69" i="3"/>
  <c r="J198" i="3"/>
  <c r="L170" i="3"/>
  <c r="D248" i="3"/>
  <c r="M146" i="3"/>
  <c r="K198" i="3"/>
  <c r="L144" i="3"/>
  <c r="M170" i="3"/>
  <c r="D275" i="3"/>
  <c r="F248" i="3"/>
  <c r="M150" i="3"/>
  <c r="F173" i="3"/>
  <c r="H92" i="3"/>
  <c r="I277" i="3"/>
  <c r="J250" i="3"/>
  <c r="G64" i="3"/>
  <c r="L169" i="3"/>
  <c r="D63" i="3"/>
  <c r="M171" i="3"/>
  <c r="D221" i="3"/>
  <c r="I300" i="3"/>
  <c r="J140" i="3"/>
  <c r="K166" i="3"/>
  <c r="F60" i="3"/>
  <c r="M191" i="3"/>
  <c r="M58" i="3"/>
  <c r="F216" i="3"/>
  <c r="I92" i="3"/>
  <c r="M169" i="3"/>
  <c r="H194" i="3"/>
  <c r="I114" i="3"/>
  <c r="J272" i="3"/>
  <c r="K245" i="3"/>
  <c r="L85" i="3"/>
  <c r="M217" i="3"/>
  <c r="K304" i="3"/>
  <c r="D278" i="3"/>
  <c r="L66" i="3"/>
  <c r="G197" i="3"/>
  <c r="H117" i="3"/>
  <c r="I275" i="3"/>
  <c r="J248" i="3"/>
  <c r="G176" i="3"/>
  <c r="M226" i="3"/>
  <c r="L92" i="3"/>
  <c r="M277" i="3"/>
  <c r="M65" i="3"/>
  <c r="F90" i="3"/>
  <c r="G116" i="3"/>
  <c r="H274" i="3"/>
  <c r="K91" i="3"/>
  <c r="K221" i="3"/>
  <c r="M300" i="3"/>
  <c r="D193" i="3"/>
  <c r="F113" i="3"/>
  <c r="G271" i="3"/>
  <c r="H244" i="3"/>
  <c r="I58" i="3"/>
  <c r="J216" i="3"/>
  <c r="G304" i="3"/>
  <c r="K89" i="3"/>
  <c r="L194" i="3"/>
  <c r="M114" i="3"/>
  <c r="D219" i="3"/>
  <c r="F298" i="3"/>
  <c r="G138" i="3"/>
  <c r="H164" i="3"/>
  <c r="I198" i="3"/>
  <c r="I278" i="3"/>
  <c r="H66" i="3"/>
  <c r="K197" i="3"/>
  <c r="L117" i="3"/>
  <c r="M275" i="3"/>
  <c r="D301" i="3"/>
  <c r="G255" i="3"/>
  <c r="K93" i="3"/>
  <c r="G145" i="3"/>
  <c r="H171" i="3"/>
  <c r="I65" i="3"/>
  <c r="J90" i="3"/>
  <c r="K116" i="3"/>
  <c r="L274" i="3"/>
  <c r="I197" i="3"/>
  <c r="G168" i="3"/>
  <c r="J62" i="3"/>
  <c r="I193" i="3"/>
  <c r="J113" i="3"/>
  <c r="K271" i="3"/>
  <c r="L244" i="3"/>
  <c r="D58" i="3"/>
  <c r="D163" i="3"/>
  <c r="D198" i="3"/>
  <c r="I195" i="3"/>
  <c r="G247" i="3"/>
  <c r="H87" i="3"/>
  <c r="I219" i="3"/>
  <c r="J298" i="3"/>
  <c r="G198" i="3"/>
  <c r="H144" i="3"/>
  <c r="I170" i="3"/>
  <c r="J249" i="3"/>
  <c r="K195" i="3"/>
  <c r="H124" i="3"/>
  <c r="J68" i="3"/>
  <c r="M119" i="3"/>
  <c r="D277" i="3"/>
  <c r="F250" i="3"/>
  <c r="K64" i="3"/>
  <c r="H169" i="3"/>
  <c r="I63" i="3"/>
  <c r="F277" i="3"/>
  <c r="H63" i="3"/>
  <c r="D300" i="3"/>
  <c r="F140" i="3"/>
  <c r="G166" i="3"/>
  <c r="J60" i="3"/>
  <c r="I191" i="3"/>
  <c r="J111" i="3"/>
  <c r="K269" i="3"/>
  <c r="K278" i="3"/>
  <c r="F222" i="3"/>
  <c r="M141" i="3"/>
  <c r="D114" i="3"/>
  <c r="F272" i="3"/>
  <c r="K176" i="3"/>
  <c r="M69" i="3"/>
  <c r="G279" i="3"/>
  <c r="K200" i="3"/>
  <c r="H224" i="3"/>
  <c r="J302" i="3"/>
  <c r="L301" i="3"/>
  <c r="F225" i="3"/>
  <c r="I224" i="3"/>
  <c r="J303" i="3"/>
  <c r="K302" i="3"/>
  <c r="L222" i="3"/>
  <c r="M301" i="3"/>
  <c r="L96" i="3"/>
  <c r="G146" i="3"/>
  <c r="F304" i="3"/>
  <c r="G118" i="3"/>
  <c r="H276" i="3"/>
  <c r="I143" i="3"/>
  <c r="J89" i="3"/>
  <c r="I149" i="3"/>
  <c r="D276" i="3"/>
  <c r="F115" i="3"/>
  <c r="G273" i="3"/>
  <c r="H246" i="3"/>
  <c r="I86" i="3"/>
  <c r="J218" i="3"/>
  <c r="K297" i="3"/>
  <c r="L84" i="3"/>
  <c r="M163" i="3"/>
  <c r="J277" i="3"/>
  <c r="D274" i="3"/>
  <c r="F300" i="3"/>
  <c r="G140" i="3"/>
  <c r="H166" i="3"/>
  <c r="I60" i="3"/>
  <c r="J191" i="3"/>
  <c r="K111" i="3"/>
  <c r="L118" i="3"/>
  <c r="L119" i="3"/>
  <c r="M224" i="3"/>
  <c r="D250" i="3"/>
  <c r="L64" i="3"/>
  <c r="G169" i="3"/>
  <c r="J63" i="3"/>
  <c r="J122" i="3"/>
  <c r="L67" i="3"/>
  <c r="J304" i="3"/>
  <c r="K118" i="3"/>
  <c r="L276" i="3"/>
  <c r="M143" i="3"/>
  <c r="D142" i="3"/>
  <c r="J254" i="3"/>
  <c r="L223" i="3"/>
  <c r="J115" i="3"/>
  <c r="K273" i="3"/>
  <c r="L246" i="3"/>
  <c r="M86" i="3"/>
  <c r="D165" i="3"/>
  <c r="L59" i="3"/>
  <c r="G137" i="3"/>
  <c r="H110" i="3"/>
  <c r="H118" i="3"/>
  <c r="G221" i="3"/>
  <c r="J300" i="3"/>
  <c r="K140" i="3"/>
  <c r="L166" i="3"/>
  <c r="D60" i="3"/>
  <c r="D244" i="3"/>
  <c r="L58" i="3"/>
  <c r="J144" i="3"/>
  <c r="G92" i="3"/>
  <c r="H277" i="3"/>
  <c r="I250" i="3"/>
  <c r="H64" i="3"/>
  <c r="K169" i="3"/>
  <c r="F63" i="3"/>
  <c r="H228" i="3"/>
  <c r="F67" i="3"/>
  <c r="D251" i="3"/>
  <c r="F91" i="3"/>
  <c r="G223" i="3"/>
  <c r="H196" i="3"/>
  <c r="I142" i="3"/>
  <c r="K227" i="3"/>
  <c r="J117" i="3"/>
  <c r="D88" i="3"/>
  <c r="F220" i="3"/>
  <c r="G299" i="3"/>
  <c r="H139" i="3"/>
  <c r="I165" i="3"/>
  <c r="H59" i="3"/>
  <c r="K137" i="3"/>
  <c r="L110" i="3"/>
  <c r="F144" i="3"/>
  <c r="L221" i="3"/>
  <c r="M62" i="3"/>
  <c r="F193" i="3"/>
  <c r="G113" i="3"/>
  <c r="M278" i="3"/>
  <c r="D224" i="3"/>
  <c r="F303" i="3"/>
  <c r="G302" i="3"/>
  <c r="H222" i="3"/>
  <c r="I301" i="3"/>
  <c r="D149" i="3"/>
  <c r="I252" i="3"/>
  <c r="K145" i="3"/>
  <c r="L171" i="3"/>
  <c r="D65" i="3"/>
  <c r="D143" i="3"/>
  <c r="F89" i="3"/>
  <c r="G177" i="3"/>
  <c r="G250" i="3"/>
  <c r="K168" i="3"/>
  <c r="F62" i="3"/>
  <c r="D86" i="3"/>
  <c r="G297" i="3"/>
  <c r="I163" i="3"/>
  <c r="G301" i="3"/>
  <c r="L87" i="3"/>
  <c r="G245" i="3"/>
  <c r="I244" i="3"/>
  <c r="H303" i="3"/>
  <c r="G88" i="3"/>
  <c r="H220" i="3"/>
  <c r="I299" i="3"/>
  <c r="J139" i="3"/>
  <c r="K165" i="3"/>
  <c r="F59" i="3"/>
  <c r="M137" i="3"/>
  <c r="M57" i="3"/>
  <c r="D215" i="3"/>
  <c r="D241" i="3"/>
  <c r="D55" i="3"/>
  <c r="M107" i="3"/>
  <c r="M54" i="3"/>
  <c r="F238" i="3"/>
  <c r="D94" i="3"/>
  <c r="M302" i="3"/>
  <c r="H88" i="3"/>
  <c r="D245" i="3"/>
  <c r="F269" i="3"/>
  <c r="M268" i="3"/>
  <c r="F267" i="3"/>
  <c r="J293" i="3"/>
  <c r="M292" i="3"/>
  <c r="I185" i="3"/>
  <c r="H184" i="3"/>
  <c r="F104" i="3"/>
  <c r="J262" i="3"/>
  <c r="M288" i="3"/>
  <c r="G128" i="3"/>
  <c r="I154" i="3"/>
  <c r="I286" i="3"/>
  <c r="I38" i="3"/>
  <c r="M113" i="3"/>
  <c r="J243" i="3"/>
  <c r="L271" i="3"/>
  <c r="M176" i="3"/>
  <c r="I274" i="3"/>
  <c r="G300" i="3"/>
  <c r="H140" i="3"/>
  <c r="I166" i="3"/>
  <c r="H60" i="3"/>
  <c r="K191" i="3"/>
  <c r="L111" i="3"/>
  <c r="M269" i="3"/>
  <c r="D242" i="3"/>
  <c r="D56" i="3"/>
  <c r="L214" i="3"/>
  <c r="M240" i="3"/>
  <c r="M186" i="3"/>
  <c r="K212" i="3"/>
  <c r="G211" i="3"/>
  <c r="I171" i="3"/>
  <c r="M274" i="3"/>
  <c r="J87" i="3"/>
  <c r="D111" i="3"/>
  <c r="M136" i="3"/>
  <c r="F135" i="3"/>
  <c r="I134" i="3"/>
  <c r="L80" i="3"/>
  <c r="G79" i="3"/>
  <c r="F105" i="3"/>
  <c r="D263" i="3"/>
  <c r="I236" i="3"/>
  <c r="L129" i="3"/>
  <c r="L208" i="3"/>
  <c r="K49" i="3"/>
  <c r="H127" i="3"/>
  <c r="H153" i="3"/>
  <c r="I220" i="3"/>
  <c r="D59" i="3"/>
  <c r="M83" i="3"/>
  <c r="K59" i="3"/>
  <c r="I302" i="3"/>
  <c r="F141" i="3"/>
  <c r="G167" i="3"/>
  <c r="J61" i="3"/>
  <c r="I192" i="3"/>
  <c r="J112" i="3"/>
  <c r="K270" i="3"/>
  <c r="L190" i="3"/>
  <c r="D57" i="3"/>
  <c r="M215" i="3"/>
  <c r="M241" i="3"/>
  <c r="L134" i="3"/>
  <c r="L213" i="3"/>
  <c r="D54" i="3"/>
  <c r="D291" i="3"/>
  <c r="D172" i="3"/>
  <c r="I196" i="3"/>
  <c r="G141" i="3"/>
  <c r="J271" i="3"/>
  <c r="M216" i="3"/>
  <c r="F162" i="3"/>
  <c r="G214" i="3"/>
  <c r="K266" i="3"/>
  <c r="H159" i="3"/>
  <c r="H53" i="3"/>
  <c r="G290" i="3"/>
  <c r="H77" i="3"/>
  <c r="I209" i="3"/>
  <c r="F50" i="3"/>
  <c r="F181" i="3"/>
  <c r="H101" i="3"/>
  <c r="G111" i="3"/>
  <c r="M195" i="3"/>
  <c r="H247" i="3"/>
  <c r="I87" i="3"/>
  <c r="J220" i="3"/>
  <c r="L139" i="3"/>
  <c r="D270" i="3"/>
  <c r="K57" i="3"/>
  <c r="H168" i="3"/>
  <c r="J193" i="3"/>
  <c r="M60" i="3"/>
  <c r="D217" i="3"/>
  <c r="J222" i="3"/>
  <c r="D194" i="3"/>
  <c r="F114" i="3"/>
  <c r="G272" i="3"/>
  <c r="H245" i="3"/>
  <c r="I85" i="3"/>
  <c r="J217" i="3"/>
  <c r="K243" i="3"/>
  <c r="L83" i="3"/>
  <c r="L162" i="3"/>
  <c r="L294" i="3"/>
  <c r="K187" i="3"/>
  <c r="K160" i="3"/>
  <c r="I159" i="3"/>
  <c r="M291" i="3"/>
  <c r="J119" i="3"/>
  <c r="D169" i="3"/>
  <c r="F194" i="3"/>
  <c r="F85" i="3"/>
  <c r="K110" i="3"/>
  <c r="H109" i="3"/>
  <c r="I161" i="3"/>
  <c r="L107" i="3"/>
  <c r="J265" i="3"/>
  <c r="M211" i="3"/>
  <c r="F237" i="3"/>
  <c r="G130" i="3"/>
  <c r="H156" i="3"/>
  <c r="K76" i="3"/>
  <c r="D234" i="3"/>
  <c r="K47" i="3"/>
  <c r="F259" i="3"/>
  <c r="K23" i="3"/>
  <c r="D218" i="3"/>
  <c r="F163" i="3"/>
  <c r="H85" i="3"/>
  <c r="M92" i="3"/>
  <c r="M168" i="3"/>
  <c r="D273" i="3"/>
  <c r="F246" i="3"/>
  <c r="G86" i="3"/>
  <c r="H218" i="3"/>
  <c r="I297" i="3"/>
  <c r="J84" i="3"/>
  <c r="K163" i="3"/>
  <c r="L295" i="3"/>
  <c r="K135" i="3"/>
  <c r="J108" i="3"/>
  <c r="J266" i="3"/>
  <c r="K133" i="3"/>
  <c r="L79" i="3"/>
  <c r="K255" i="3"/>
  <c r="H65" i="3"/>
  <c r="D115" i="3"/>
  <c r="K219" i="3"/>
  <c r="I190" i="3"/>
  <c r="G295" i="3"/>
  <c r="J241" i="3"/>
  <c r="L81" i="3"/>
  <c r="F133" i="3"/>
  <c r="K238" i="3"/>
  <c r="D131" i="3"/>
  <c r="L210" i="3"/>
  <c r="K51" i="3"/>
  <c r="J235" i="3"/>
  <c r="J102" i="3"/>
  <c r="F207" i="3"/>
  <c r="F233" i="3"/>
  <c r="F39" i="3"/>
  <c r="J299" i="3"/>
  <c r="M84" i="3"/>
  <c r="G242" i="3"/>
  <c r="L164" i="3"/>
  <c r="F142" i="3"/>
  <c r="M194" i="3"/>
  <c r="D87" i="3"/>
  <c r="F219" i="3"/>
  <c r="G298" i="3"/>
  <c r="H138" i="3"/>
  <c r="I164" i="3"/>
  <c r="J296" i="3"/>
  <c r="K136" i="3"/>
  <c r="K109" i="3"/>
  <c r="I267" i="3"/>
  <c r="J81" i="3"/>
  <c r="J80" i="3"/>
  <c r="H265" i="3"/>
  <c r="L185" i="3"/>
  <c r="F251" i="3"/>
  <c r="J142" i="3"/>
  <c r="K62" i="3"/>
  <c r="K244" i="3"/>
  <c r="F83" i="3"/>
  <c r="J56" i="3"/>
  <c r="K108" i="3"/>
  <c r="D160" i="3"/>
  <c r="L212" i="3"/>
  <c r="L264" i="3"/>
  <c r="M52" i="3"/>
  <c r="F183" i="3"/>
  <c r="G103" i="3"/>
  <c r="I261" i="3"/>
  <c r="M234" i="3"/>
  <c r="J165" i="3"/>
  <c r="H279" i="3"/>
  <c r="M221" i="3"/>
  <c r="L62" i="3"/>
  <c r="G193" i="3"/>
  <c r="H113" i="3"/>
  <c r="I271" i="3"/>
  <c r="J244" i="3"/>
  <c r="G58" i="3"/>
  <c r="L216" i="3"/>
  <c r="M242" i="3"/>
  <c r="L82" i="3"/>
  <c r="K161" i="3"/>
  <c r="L293" i="3"/>
  <c r="L239" i="3"/>
  <c r="J106" i="3"/>
  <c r="H16" i="8"/>
  <c r="M193" i="3"/>
  <c r="F218" i="3"/>
  <c r="H84" i="3"/>
  <c r="F66" i="3"/>
  <c r="K247" i="3"/>
  <c r="M219" i="3"/>
  <c r="H271" i="3"/>
  <c r="H58" i="3"/>
  <c r="K301" i="3"/>
  <c r="L247" i="3"/>
  <c r="M87" i="3"/>
  <c r="D166" i="3"/>
  <c r="L60" i="3"/>
  <c r="G191" i="3"/>
  <c r="H111" i="3"/>
  <c r="I269" i="3"/>
  <c r="J189" i="3"/>
  <c r="I56" i="3"/>
  <c r="H214" i="3"/>
  <c r="I240" i="3"/>
  <c r="I186" i="3"/>
  <c r="G212" i="3"/>
  <c r="G53" i="3"/>
  <c r="K224" i="3"/>
  <c r="L63" i="3"/>
  <c r="L167" i="3"/>
  <c r="G217" i="3"/>
  <c r="H136" i="3"/>
  <c r="J82" i="3"/>
  <c r="F55" i="3"/>
  <c r="G80" i="3"/>
  <c r="M106" i="3"/>
  <c r="K158" i="3"/>
  <c r="D52" i="3"/>
  <c r="D236" i="3"/>
  <c r="H129" i="3"/>
  <c r="H208" i="3"/>
  <c r="L287" i="3"/>
  <c r="M74" i="3"/>
  <c r="M206" i="3"/>
  <c r="G62" i="3"/>
  <c r="F297" i="3"/>
  <c r="G83" i="3"/>
  <c r="M244" i="3"/>
  <c r="L65" i="3"/>
  <c r="K88" i="3"/>
  <c r="L220" i="3"/>
  <c r="M299" i="3"/>
  <c r="D192" i="3"/>
  <c r="F112" i="3"/>
  <c r="G270" i="3"/>
  <c r="H190" i="3"/>
  <c r="I57" i="3"/>
  <c r="I215" i="3"/>
  <c r="I241" i="3"/>
  <c r="H134" i="3"/>
  <c r="H213" i="3"/>
  <c r="I54" i="3"/>
  <c r="J238" i="3"/>
  <c r="F305" i="3"/>
  <c r="K90" i="3"/>
  <c r="L88" i="3"/>
  <c r="L298" i="3"/>
  <c r="D216" i="3"/>
  <c r="J215" i="3"/>
  <c r="K267" i="3"/>
  <c r="D266" i="3"/>
  <c r="H54" i="3"/>
  <c r="M53" i="3"/>
  <c r="L184" i="3"/>
  <c r="J104" i="3"/>
  <c r="D209" i="3"/>
  <c r="J50" i="3"/>
  <c r="K128" i="3"/>
  <c r="M154" i="3"/>
  <c r="M286" i="3"/>
  <c r="D38" i="3"/>
  <c r="K139" i="3"/>
  <c r="I296" i="3"/>
  <c r="F165" i="3"/>
  <c r="G200" i="3"/>
  <c r="H221" i="3"/>
  <c r="K300" i="3"/>
  <c r="L140" i="3"/>
  <c r="M166" i="3"/>
  <c r="D271" i="3"/>
  <c r="F244" i="3"/>
  <c r="K58" i="3"/>
  <c r="H216" i="3"/>
  <c r="I242" i="3"/>
  <c r="H82" i="3"/>
  <c r="G161" i="3"/>
  <c r="H293" i="3"/>
  <c r="H239" i="3"/>
  <c r="F106" i="3"/>
  <c r="K211" i="3"/>
  <c r="G91" i="3"/>
  <c r="I221" i="3"/>
  <c r="H193" i="3"/>
  <c r="F58" i="3"/>
  <c r="I189" i="3"/>
  <c r="L135" i="3"/>
  <c r="D187" i="3"/>
  <c r="H186" i="3"/>
  <c r="M79" i="3"/>
  <c r="J105" i="3"/>
  <c r="I263" i="3"/>
  <c r="M236" i="3"/>
  <c r="G182" i="3"/>
  <c r="G155" i="3"/>
  <c r="G49" i="3"/>
  <c r="F191" i="3"/>
  <c r="D171" i="3"/>
  <c r="L115" i="3"/>
  <c r="M273" i="3"/>
  <c r="K299" i="3"/>
  <c r="M165" i="3"/>
  <c r="F190" i="3"/>
  <c r="M197" i="3"/>
  <c r="I62" i="3"/>
  <c r="K113" i="3"/>
  <c r="M112" i="3"/>
  <c r="F119" i="3"/>
  <c r="I168" i="3"/>
  <c r="H62" i="3"/>
  <c r="K193" i="3"/>
  <c r="L113" i="3"/>
  <c r="M271" i="3"/>
  <c r="D297" i="3"/>
  <c r="F84" i="3"/>
  <c r="G163" i="3"/>
  <c r="H295" i="3"/>
  <c r="G135" i="3"/>
  <c r="F108" i="3"/>
  <c r="F266" i="3"/>
  <c r="G133" i="3"/>
  <c r="H79" i="3"/>
  <c r="K151" i="3"/>
  <c r="L303" i="3"/>
  <c r="J168" i="3"/>
  <c r="D61" i="3"/>
  <c r="J137" i="3"/>
  <c r="K242" i="3"/>
  <c r="M188" i="3"/>
  <c r="G81" i="3"/>
  <c r="J239" i="3"/>
  <c r="D238" i="3"/>
  <c r="J78" i="3"/>
  <c r="H210" i="3"/>
  <c r="L289" i="3"/>
  <c r="F235" i="3"/>
  <c r="F102" i="3"/>
  <c r="K260" i="3"/>
  <c r="K180" i="3"/>
  <c r="K100" i="3"/>
  <c r="L193" i="3"/>
  <c r="D84" i="3"/>
  <c r="K189" i="3"/>
  <c r="I217" i="3"/>
  <c r="H116" i="3"/>
  <c r="I194" i="3"/>
  <c r="J114" i="3"/>
  <c r="K272" i="3"/>
  <c r="L245" i="3"/>
  <c r="M85" i="3"/>
  <c r="D164" i="3"/>
  <c r="F296" i="3"/>
  <c r="G136" i="3"/>
  <c r="G109" i="3"/>
  <c r="D267" i="3"/>
  <c r="F81" i="3"/>
  <c r="F80" i="3"/>
  <c r="M159" i="3"/>
  <c r="H185" i="3"/>
  <c r="H145" i="3"/>
  <c r="L116" i="3"/>
  <c r="I247" i="3"/>
  <c r="M138" i="3"/>
  <c r="H57" i="3"/>
  <c r="M109" i="3"/>
  <c r="D108" i="3"/>
  <c r="I213" i="3"/>
  <c r="F212" i="3"/>
  <c r="H264" i="3"/>
  <c r="J237" i="3"/>
  <c r="K130" i="3"/>
  <c r="L156" i="3"/>
  <c r="D261" i="3"/>
  <c r="I234" i="3"/>
  <c r="G47" i="3"/>
  <c r="J259" i="3"/>
  <c r="G23" i="3"/>
  <c r="L165" i="3"/>
  <c r="D110" i="3"/>
  <c r="K138" i="3"/>
  <c r="G224" i="3"/>
  <c r="H115" i="3"/>
  <c r="I273" i="3"/>
  <c r="J246" i="3"/>
  <c r="K86" i="3"/>
  <c r="L218" i="3"/>
  <c r="M297" i="3"/>
  <c r="D137" i="3"/>
  <c r="F110" i="3"/>
  <c r="F268" i="3"/>
  <c r="F188" i="3"/>
  <c r="M55" i="3"/>
  <c r="D107" i="3"/>
  <c r="F292" i="3"/>
  <c r="G132" i="3"/>
  <c r="L228" i="3"/>
  <c r="H223" i="3"/>
  <c r="I115" i="3"/>
  <c r="I113" i="3"/>
  <c r="H243" i="3"/>
  <c r="M295" i="3"/>
  <c r="F294" i="3"/>
  <c r="H240" i="3"/>
  <c r="L133" i="3"/>
  <c r="G291" i="3"/>
  <c r="I131" i="3"/>
  <c r="G157" i="3"/>
  <c r="G51" i="3"/>
  <c r="D288" i="3"/>
  <c r="H75" i="3"/>
  <c r="J207" i="3"/>
  <c r="G59" i="3"/>
  <c r="G90" i="3"/>
  <c r="J141" i="3"/>
  <c r="K167" i="3"/>
  <c r="F61" i="3"/>
  <c r="M192" i="3"/>
  <c r="D85" i="3"/>
  <c r="F217" i="3"/>
  <c r="G243" i="3"/>
  <c r="H83" i="3"/>
  <c r="H162" i="3"/>
  <c r="H294" i="3"/>
  <c r="G187" i="3"/>
  <c r="G160" i="3"/>
  <c r="D159" i="3"/>
  <c r="I291" i="3"/>
  <c r="D299" i="3"/>
  <c r="G165" i="3"/>
  <c r="I137" i="3"/>
  <c r="J268" i="3"/>
  <c r="I55" i="3"/>
  <c r="J292" i="3"/>
  <c r="M121" i="3"/>
  <c r="F117" i="3"/>
  <c r="M115" i="3"/>
  <c r="G139" i="3"/>
  <c r="G296" i="3"/>
  <c r="H268" i="3"/>
  <c r="K294" i="3"/>
  <c r="D293" i="3"/>
  <c r="H292" i="3"/>
  <c r="L291" i="3"/>
  <c r="M131" i="3"/>
  <c r="K157" i="3"/>
  <c r="F262" i="3"/>
  <c r="I288" i="3"/>
  <c r="L75" i="3"/>
  <c r="D154" i="3"/>
  <c r="D206" i="3"/>
  <c r="J85" i="3"/>
  <c r="K215" i="3"/>
  <c r="I214" i="3"/>
  <c r="L266" i="3"/>
  <c r="J159" i="3"/>
  <c r="I211" i="3"/>
  <c r="L290" i="3"/>
  <c r="M77" i="3"/>
  <c r="D156" i="3"/>
  <c r="D50" i="3"/>
  <c r="L128" i="3"/>
  <c r="D101" i="3"/>
  <c r="M48" i="3"/>
  <c r="D24" i="3"/>
  <c r="H300" i="3"/>
  <c r="L191" i="3"/>
  <c r="F57" i="3"/>
  <c r="L56" i="3"/>
  <c r="M108" i="3"/>
  <c r="H160" i="3"/>
  <c r="I212" i="3"/>
  <c r="F264" i="3"/>
  <c r="H237" i="3"/>
  <c r="I130" i="3"/>
  <c r="J156" i="3"/>
  <c r="I76" i="3"/>
  <c r="H181" i="3"/>
  <c r="I74" i="3"/>
  <c r="M247" i="3"/>
  <c r="G57" i="3"/>
  <c r="I188" i="3"/>
  <c r="L187" i="3"/>
  <c r="F239" i="3"/>
  <c r="G238" i="3"/>
  <c r="K78" i="3"/>
  <c r="M210" i="3"/>
  <c r="M289" i="3"/>
  <c r="L182" i="3"/>
  <c r="L155" i="3"/>
  <c r="F49" i="3"/>
  <c r="M127" i="3"/>
  <c r="M153" i="3"/>
  <c r="M179" i="3"/>
  <c r="H86" i="3"/>
  <c r="L243" i="3"/>
  <c r="D268" i="3"/>
  <c r="I294" i="3"/>
  <c r="G293" i="3"/>
  <c r="K292" i="3"/>
  <c r="J291" i="3"/>
  <c r="G131" i="3"/>
  <c r="I157" i="3"/>
  <c r="I51" i="3"/>
  <c r="H235" i="3"/>
  <c r="H102" i="3"/>
  <c r="D260" i="3"/>
  <c r="D180" i="3"/>
  <c r="I100" i="3"/>
  <c r="I232" i="3"/>
  <c r="L127" i="3"/>
  <c r="G114" i="3"/>
  <c r="I136" i="3"/>
  <c r="F241" i="3"/>
  <c r="H81" i="3"/>
  <c r="K239" i="3"/>
  <c r="L238" i="3"/>
  <c r="F131" i="3"/>
  <c r="H157" i="3"/>
  <c r="J51" i="3"/>
  <c r="G235" i="3"/>
  <c r="G102" i="3"/>
  <c r="H260" i="3"/>
  <c r="H180" i="3"/>
  <c r="H100" i="3"/>
  <c r="H232" i="3"/>
  <c r="F192" i="3"/>
  <c r="K296" i="3"/>
  <c r="K268" i="3"/>
  <c r="H267" i="3"/>
  <c r="M293" i="3"/>
  <c r="K54" i="3"/>
  <c r="F185" i="3"/>
  <c r="K131" i="3"/>
  <c r="M157" i="3"/>
  <c r="D51" i="3"/>
  <c r="L235" i="3"/>
  <c r="L102" i="3"/>
  <c r="I260" i="3"/>
  <c r="L24" i="3"/>
  <c r="G216" i="3"/>
  <c r="H135" i="3"/>
  <c r="J134" i="3"/>
  <c r="M80" i="3"/>
  <c r="D132" i="3"/>
  <c r="K105" i="3"/>
  <c r="D210" i="3"/>
  <c r="D289" i="3"/>
  <c r="M129" i="3"/>
  <c r="M208" i="3"/>
  <c r="M287" i="3"/>
  <c r="D127" i="3"/>
  <c r="D153" i="3"/>
  <c r="D179" i="3"/>
  <c r="L272" i="3"/>
  <c r="J219" i="3"/>
  <c r="L138" i="3"/>
  <c r="D269" i="3"/>
  <c r="M56" i="3"/>
  <c r="D240" i="3"/>
  <c r="L265" i="3"/>
  <c r="L225" i="3"/>
  <c r="G275" i="3"/>
  <c r="K141" i="3"/>
  <c r="H165" i="3"/>
  <c r="L163" i="3"/>
  <c r="K162" i="3"/>
  <c r="M214" i="3"/>
  <c r="G107" i="3"/>
  <c r="D265" i="3"/>
  <c r="H211" i="3"/>
  <c r="K290" i="3"/>
  <c r="L77" i="3"/>
  <c r="M209" i="3"/>
  <c r="G76" i="3"/>
  <c r="J181" i="3"/>
  <c r="L101" i="3"/>
  <c r="J39" i="3"/>
  <c r="L137" i="3"/>
  <c r="H56" i="3"/>
  <c r="L108" i="3"/>
  <c r="F160" i="3"/>
  <c r="M212" i="3"/>
  <c r="H158" i="3"/>
  <c r="H52" i="3"/>
  <c r="K183" i="3"/>
  <c r="L103" i="3"/>
  <c r="J261" i="3"/>
  <c r="J234" i="3"/>
  <c r="F47" i="3"/>
  <c r="K259" i="3"/>
  <c r="F23" i="3"/>
  <c r="I140" i="3"/>
  <c r="M111" i="3"/>
  <c r="G189" i="3"/>
  <c r="I135" i="3"/>
  <c r="H187" i="3"/>
  <c r="K186" i="3"/>
  <c r="J79" i="3"/>
  <c r="M158" i="3"/>
  <c r="G263" i="3"/>
  <c r="G236" i="3"/>
  <c r="F129" i="3"/>
  <c r="F208" i="3"/>
  <c r="F287" i="3"/>
  <c r="D286" i="3"/>
  <c r="F166" i="3"/>
  <c r="I295" i="3"/>
  <c r="M294" i="3"/>
  <c r="F293" i="3"/>
  <c r="I292" i="3"/>
  <c r="J185" i="3"/>
  <c r="I184" i="3"/>
  <c r="K104" i="3"/>
  <c r="K262" i="3"/>
  <c r="J288" i="3"/>
  <c r="I75" i="3"/>
  <c r="K207" i="3"/>
  <c r="K233" i="3"/>
  <c r="K39" i="3"/>
  <c r="K285" i="3"/>
  <c r="I218" i="3"/>
  <c r="H163" i="3"/>
  <c r="I162" i="3"/>
  <c r="F161" i="3"/>
  <c r="J107" i="3"/>
  <c r="K159" i="3"/>
  <c r="D53" i="3"/>
  <c r="D290" i="3"/>
  <c r="F77" i="3"/>
  <c r="G209" i="3"/>
  <c r="L50" i="3"/>
  <c r="D128" i="3"/>
  <c r="L207" i="3"/>
  <c r="L233" i="3"/>
  <c r="K38" i="3"/>
  <c r="G40" i="3"/>
  <c r="J48" i="3"/>
  <c r="I245" i="3"/>
  <c r="I268" i="3"/>
  <c r="G267" i="3"/>
  <c r="K293" i="3"/>
  <c r="L54" i="3"/>
  <c r="L53" i="3"/>
  <c r="M184" i="3"/>
  <c r="D77" i="3"/>
  <c r="F209" i="3"/>
  <c r="M50" i="3"/>
  <c r="M75" i="3"/>
  <c r="F154" i="3"/>
  <c r="F286" i="3"/>
  <c r="L38" i="3"/>
  <c r="F40" i="3"/>
  <c r="G112" i="3"/>
  <c r="G110" i="3"/>
  <c r="D109" i="3"/>
  <c r="L161" i="3"/>
  <c r="F213" i="3"/>
  <c r="G265" i="3"/>
  <c r="D211" i="3"/>
  <c r="I290" i="3"/>
  <c r="J77" i="3"/>
  <c r="K209" i="3"/>
  <c r="H50" i="3"/>
  <c r="I128" i="3"/>
  <c r="G180" i="3"/>
  <c r="D140" i="3"/>
  <c r="D189" i="3"/>
  <c r="K241" i="3"/>
  <c r="M81" i="3"/>
  <c r="H133" i="3"/>
  <c r="H291" i="3"/>
  <c r="J131" i="3"/>
  <c r="L157" i="3"/>
  <c r="F51" i="3"/>
  <c r="K235" i="3"/>
  <c r="K102" i="3"/>
  <c r="L260" i="3"/>
  <c r="L180" i="3"/>
  <c r="L100" i="3"/>
  <c r="L232" i="3"/>
  <c r="M245" i="3"/>
  <c r="F139" i="3"/>
  <c r="J59" i="3"/>
  <c r="J110" i="3"/>
  <c r="J188" i="3"/>
  <c r="I107" i="3"/>
  <c r="K132" i="3"/>
  <c r="M198" i="3"/>
  <c r="H248" i="3"/>
  <c r="D220" i="3"/>
  <c r="I59" i="3"/>
  <c r="K83" i="3"/>
  <c r="D82" i="3"/>
  <c r="K55" i="3"/>
  <c r="J160" i="3"/>
  <c r="H106" i="3"/>
  <c r="G158" i="3"/>
  <c r="I52" i="3"/>
  <c r="J183" i="3"/>
  <c r="K103" i="3"/>
  <c r="M261" i="3"/>
  <c r="H287" i="3"/>
  <c r="D74" i="3"/>
  <c r="D126" i="3"/>
  <c r="M110" i="3"/>
  <c r="M135" i="3"/>
  <c r="F187" i="3"/>
  <c r="J186" i="3"/>
  <c r="J132" i="3"/>
  <c r="G78" i="3"/>
  <c r="I210" i="3"/>
  <c r="I289" i="3"/>
  <c r="H182" i="3"/>
  <c r="H155" i="3"/>
  <c r="J49" i="3"/>
  <c r="I127" i="3"/>
  <c r="I153" i="3"/>
  <c r="I179" i="3"/>
  <c r="J166" i="3"/>
  <c r="M190" i="3"/>
  <c r="J295" i="3"/>
  <c r="L241" i="3"/>
  <c r="K240" i="3"/>
  <c r="D292" i="3"/>
  <c r="M238" i="3"/>
  <c r="L78" i="3"/>
  <c r="D157" i="3"/>
  <c r="M51" i="3"/>
  <c r="M182" i="3"/>
  <c r="M155" i="3"/>
  <c r="D49" i="3"/>
  <c r="I206" i="3"/>
  <c r="H191" i="3"/>
  <c r="G162" i="3"/>
  <c r="D161" i="3"/>
  <c r="H107" i="3"/>
  <c r="F265" i="3"/>
  <c r="D264" i="3"/>
  <c r="G237" i="3"/>
  <c r="H130" i="3"/>
  <c r="I156" i="3"/>
  <c r="H76" i="3"/>
  <c r="G181" i="3"/>
  <c r="I101" i="3"/>
  <c r="I48" i="3"/>
  <c r="I24" i="3"/>
  <c r="F273" i="3"/>
  <c r="J297" i="3"/>
  <c r="I83" i="3"/>
  <c r="G56" i="3"/>
  <c r="H55" i="3"/>
  <c r="M160" i="3"/>
  <c r="D106" i="3"/>
  <c r="J264" i="3"/>
  <c r="L237" i="3"/>
  <c r="M130" i="3"/>
  <c r="D103" i="3"/>
  <c r="M76" i="3"/>
  <c r="L181" i="3"/>
  <c r="J101" i="3"/>
  <c r="H48" i="3"/>
  <c r="M23" i="3"/>
  <c r="H258" i="3"/>
  <c r="L153" i="3"/>
  <c r="K217" i="3"/>
  <c r="M162" i="3"/>
  <c r="J161" i="3"/>
  <c r="D213" i="3"/>
  <c r="K265" i="3"/>
  <c r="I264" i="3"/>
  <c r="K237" i="3"/>
  <c r="L130" i="3"/>
  <c r="M156" i="3"/>
  <c r="L76" i="3"/>
  <c r="K181" i="3"/>
  <c r="M101" i="3"/>
  <c r="D48" i="3"/>
  <c r="M24" i="3"/>
  <c r="M220" i="3"/>
  <c r="H270" i="3"/>
  <c r="D136" i="3"/>
  <c r="G82" i="3"/>
  <c r="F134" i="3"/>
  <c r="I80" i="3"/>
  <c r="K106" i="3"/>
  <c r="D158" i="3"/>
  <c r="K52" i="3"/>
  <c r="H183" i="3"/>
  <c r="I103" i="3"/>
  <c r="G261" i="3"/>
  <c r="G234" i="3"/>
  <c r="F48" i="3"/>
  <c r="K298" i="3"/>
  <c r="M164" i="3"/>
  <c r="F189" i="3"/>
  <c r="M267" i="3"/>
  <c r="D186" i="3"/>
  <c r="K53" i="3"/>
  <c r="D197" i="3"/>
  <c r="F168" i="3"/>
  <c r="F299" i="3"/>
  <c r="K84" i="3"/>
  <c r="F242" i="3"/>
  <c r="H188" i="3"/>
  <c r="J187" i="3"/>
  <c r="D239" i="3"/>
  <c r="I132" i="3"/>
  <c r="F78" i="3"/>
  <c r="M263" i="3"/>
  <c r="H289" i="3"/>
  <c r="K182" i="3"/>
  <c r="K155" i="3"/>
  <c r="G260" i="3"/>
  <c r="J233" i="3"/>
  <c r="H272" i="3"/>
  <c r="L242" i="3"/>
  <c r="G294" i="3"/>
  <c r="J240" i="3"/>
  <c r="M133" i="3"/>
  <c r="D185" i="3"/>
  <c r="D184" i="3"/>
  <c r="G104" i="3"/>
  <c r="G262" i="3"/>
  <c r="F288" i="3"/>
  <c r="D75" i="3"/>
  <c r="G207" i="3"/>
  <c r="G233" i="3"/>
  <c r="G39" i="3"/>
  <c r="G285" i="3"/>
  <c r="G60" i="3"/>
  <c r="I216" i="3"/>
  <c r="L215" i="3"/>
  <c r="J214" i="3"/>
  <c r="M266" i="3"/>
  <c r="F159" i="3"/>
  <c r="J53" i="3"/>
  <c r="J184" i="3"/>
  <c r="L104" i="3"/>
  <c r="L262" i="3"/>
  <c r="K288" i="3"/>
  <c r="J75" i="3"/>
  <c r="H207" i="3"/>
  <c r="M38" i="3"/>
  <c r="K190" i="3"/>
  <c r="F82" i="3"/>
  <c r="J55" i="3"/>
  <c r="L160" i="3"/>
  <c r="I106" i="3"/>
  <c r="L158" i="3"/>
  <c r="F263" i="3"/>
  <c r="F236" i="3"/>
  <c r="D129" i="3"/>
  <c r="D208" i="3"/>
  <c r="D287" i="3"/>
  <c r="F74" i="3"/>
  <c r="F206" i="3"/>
  <c r="F126" i="3"/>
  <c r="G246" i="3"/>
  <c r="G84" i="3"/>
  <c r="L189" i="3"/>
  <c r="D188" i="3"/>
  <c r="M187" i="3"/>
  <c r="G239" i="3"/>
  <c r="F132" i="3"/>
  <c r="H105" i="3"/>
  <c r="K263" i="3"/>
  <c r="K236" i="3"/>
  <c r="J129" i="3"/>
  <c r="J208" i="3"/>
  <c r="J287" i="3"/>
  <c r="G74" i="3"/>
  <c r="K206" i="3"/>
  <c r="K126" i="3"/>
  <c r="F152" i="3"/>
  <c r="H24" i="3"/>
  <c r="H269" i="3"/>
  <c r="K82" i="3"/>
  <c r="D134" i="3"/>
  <c r="H80" i="3"/>
  <c r="I79" i="3"/>
  <c r="G105" i="3"/>
  <c r="J263" i="3"/>
  <c r="J236" i="3"/>
  <c r="I129" i="3"/>
  <c r="I208" i="3"/>
  <c r="I287" i="3"/>
  <c r="J74" i="3"/>
  <c r="J206" i="3"/>
  <c r="J126" i="3"/>
  <c r="M61" i="3"/>
  <c r="F137" i="3"/>
  <c r="H242" i="3"/>
  <c r="K188" i="3"/>
  <c r="I81" i="3"/>
  <c r="M239" i="3"/>
  <c r="L132" i="3"/>
  <c r="L105" i="3"/>
  <c r="F210" i="3"/>
  <c r="F289" i="3"/>
  <c r="D182" i="3"/>
  <c r="D155" i="3"/>
  <c r="M49" i="3"/>
  <c r="G100" i="3"/>
  <c r="K60" i="3"/>
  <c r="L267" i="3"/>
  <c r="G54" i="3"/>
  <c r="H290" i="3"/>
  <c r="J209" i="3"/>
  <c r="H128" i="3"/>
  <c r="J286" i="3"/>
  <c r="J194" i="3"/>
  <c r="D190" i="3"/>
  <c r="D295" i="3"/>
  <c r="G241" i="3"/>
  <c r="F240" i="3"/>
  <c r="I133" i="3"/>
  <c r="H238" i="3"/>
  <c r="H78" i="3"/>
  <c r="J210" i="3"/>
  <c r="J289" i="3"/>
  <c r="I182" i="3"/>
  <c r="I155" i="3"/>
  <c r="I49" i="3"/>
  <c r="F127" i="3"/>
  <c r="J153" i="3"/>
  <c r="J179" i="3"/>
  <c r="G154" i="3"/>
  <c r="G38" i="3"/>
  <c r="H26" i="3"/>
  <c r="L188" i="3"/>
  <c r="G184" i="3"/>
  <c r="M102" i="3"/>
  <c r="L179" i="3"/>
  <c r="I35" i="2"/>
  <c r="K36" i="2"/>
  <c r="Q27" i="2"/>
  <c r="K246" i="3"/>
  <c r="K107" i="3"/>
  <c r="L51" i="3"/>
  <c r="I259" i="3"/>
  <c r="M205" i="3"/>
  <c r="R39" i="2"/>
  <c r="R45" i="2"/>
  <c r="Q31" i="2"/>
  <c r="I110" i="3"/>
  <c r="G159" i="3"/>
  <c r="H209" i="3"/>
  <c r="F180" i="3"/>
  <c r="M258" i="3"/>
  <c r="O34" i="2"/>
  <c r="I39" i="2"/>
  <c r="K41" i="2"/>
  <c r="I138" i="3"/>
  <c r="I266" i="3"/>
  <c r="K210" i="3"/>
  <c r="J260" i="3"/>
  <c r="I25" i="3"/>
  <c r="M35" i="2"/>
  <c r="D37" i="2"/>
  <c r="D33" i="2"/>
  <c r="J178" i="3"/>
  <c r="K43" i="3"/>
  <c r="L45" i="3"/>
  <c r="H35" i="3"/>
  <c r="M43" i="3"/>
  <c r="N27" i="2"/>
  <c r="D22" i="3"/>
  <c r="D284" i="3"/>
  <c r="F230" i="3"/>
  <c r="G282" i="3"/>
  <c r="L36" i="3"/>
  <c r="F283" i="3"/>
  <c r="I33" i="2"/>
  <c r="D21" i="3"/>
  <c r="A24" i="2"/>
  <c r="I27" i="3"/>
  <c r="J44" i="3"/>
  <c r="K31" i="3"/>
  <c r="L35" i="3"/>
  <c r="F284" i="3"/>
  <c r="L33" i="3"/>
  <c r="N40" i="1"/>
  <c r="G22" i="1"/>
  <c r="G6" i="10"/>
  <c r="D100" i="3"/>
  <c r="D41" i="3"/>
  <c r="H215" i="3"/>
  <c r="L211" i="3"/>
  <c r="G50" i="3"/>
  <c r="J38" i="3"/>
  <c r="F26" i="3"/>
  <c r="N35" i="2"/>
  <c r="M27" i="2"/>
  <c r="E28" i="2"/>
  <c r="G55" i="3"/>
  <c r="J157" i="3"/>
  <c r="K127" i="3"/>
  <c r="F258" i="3"/>
  <c r="R23" i="2"/>
  <c r="F28" i="2"/>
  <c r="E36" i="2"/>
  <c r="L270" i="3"/>
  <c r="K80" i="3"/>
  <c r="D183" i="3"/>
  <c r="M207" i="3"/>
  <c r="H25" i="3"/>
  <c r="N29" i="2"/>
  <c r="Q45" i="2"/>
  <c r="E34" i="2"/>
  <c r="F87" i="3"/>
  <c r="I108" i="3"/>
  <c r="L131" i="3"/>
  <c r="K75" i="3"/>
  <c r="I285" i="3"/>
  <c r="F37" i="2"/>
  <c r="P39" i="2"/>
  <c r="M22" i="3"/>
  <c r="M21" i="3"/>
  <c r="H204" i="3"/>
  <c r="I256" i="3"/>
  <c r="J33" i="3"/>
  <c r="H27" i="3"/>
  <c r="G39" i="2"/>
  <c r="J29" i="2"/>
  <c r="K178" i="3"/>
  <c r="L43" i="3"/>
  <c r="M45" i="3"/>
  <c r="D35" i="3"/>
  <c r="K257" i="3"/>
  <c r="L27" i="2"/>
  <c r="M33" i="2"/>
  <c r="L37" i="2"/>
  <c r="F42" i="3"/>
  <c r="G283" i="3"/>
  <c r="H46" i="3"/>
  <c r="I37" i="3"/>
  <c r="R27" i="2"/>
  <c r="L282" i="3"/>
  <c r="U40" i="1"/>
  <c r="P23" i="1"/>
  <c r="K23" i="1"/>
  <c r="Q21" i="1"/>
  <c r="G23" i="1"/>
  <c r="O21" i="1"/>
  <c r="I180" i="3"/>
  <c r="M232" i="3"/>
  <c r="G244" i="3"/>
  <c r="I160" i="3"/>
  <c r="F130" i="3"/>
  <c r="H47" i="3"/>
  <c r="D258" i="3"/>
  <c r="K35" i="2"/>
  <c r="L25" i="2"/>
  <c r="G43" i="2"/>
  <c r="J163" i="3"/>
  <c r="G185" i="3"/>
  <c r="L261" i="3"/>
  <c r="G179" i="3"/>
  <c r="F41" i="2"/>
  <c r="P36" i="2"/>
  <c r="A40" i="2"/>
  <c r="I28" i="2"/>
  <c r="J135" i="3"/>
  <c r="I105" i="3"/>
  <c r="G208" i="3"/>
  <c r="G24" i="3"/>
  <c r="I26" i="3"/>
  <c r="N39" i="2"/>
  <c r="M43" i="2"/>
  <c r="Q33" i="2"/>
  <c r="F295" i="3"/>
  <c r="K79" i="3"/>
  <c r="L209" i="3"/>
  <c r="H206" i="3"/>
  <c r="H41" i="3"/>
  <c r="F36" i="2"/>
  <c r="Q36" i="2"/>
  <c r="N28" i="2"/>
  <c r="G42" i="3"/>
  <c r="H283" i="3"/>
  <c r="I46" i="3"/>
  <c r="J22" i="3"/>
  <c r="G46" i="3"/>
  <c r="E42" i="2"/>
  <c r="N25" i="2"/>
  <c r="K27" i="3"/>
  <c r="L44" i="3"/>
  <c r="M31" i="3"/>
  <c r="M23" i="2"/>
  <c r="D32" i="3"/>
  <c r="E27" i="2"/>
  <c r="F31" i="2"/>
  <c r="D178" i="3"/>
  <c r="F43" i="3"/>
  <c r="G45" i="3"/>
  <c r="H34" i="3"/>
  <c r="L29" i="2"/>
  <c r="K230" i="3"/>
  <c r="L40" i="1"/>
  <c r="N22" i="1"/>
  <c r="X23" i="1"/>
  <c r="H233" i="3"/>
  <c r="L285" i="3"/>
  <c r="J58" i="3"/>
  <c r="L186" i="3"/>
  <c r="M183" i="3"/>
  <c r="G127" i="3"/>
  <c r="J258" i="3"/>
  <c r="E44" i="2"/>
  <c r="O41" i="2"/>
  <c r="P29" i="2"/>
  <c r="J83" i="3"/>
  <c r="G264" i="3"/>
  <c r="J155" i="3"/>
  <c r="F232" i="3"/>
  <c r="G36" i="2"/>
  <c r="F26" i="2"/>
  <c r="O43" i="2"/>
  <c r="L45" i="2"/>
  <c r="D294" i="3"/>
  <c r="H131" i="3"/>
  <c r="D102" i="3"/>
  <c r="I126" i="3"/>
  <c r="F35" i="2"/>
  <c r="R25" i="2"/>
  <c r="P28" i="2"/>
  <c r="K28" i="2"/>
  <c r="L268" i="3"/>
  <c r="I111" i="3"/>
  <c r="G108" i="3"/>
  <c r="H212" i="3"/>
  <c r="L52" i="3"/>
  <c r="H103" i="3"/>
  <c r="F234" i="3"/>
  <c r="G259" i="3"/>
  <c r="K114" i="3"/>
  <c r="J269" i="3"/>
  <c r="G215" i="3"/>
  <c r="D214" i="3"/>
  <c r="H266" i="3"/>
  <c r="F54" i="3"/>
  <c r="K185" i="3"/>
  <c r="F184" i="3"/>
  <c r="H104" i="3"/>
  <c r="H262" i="3"/>
  <c r="G288" i="3"/>
  <c r="F75" i="3"/>
  <c r="M260" i="3"/>
  <c r="M180" i="3"/>
  <c r="H39" i="3"/>
  <c r="H285" i="3"/>
  <c r="K74" i="3"/>
  <c r="F179" i="3"/>
  <c r="D113" i="3"/>
  <c r="L240" i="3"/>
  <c r="F157" i="3"/>
  <c r="D207" i="3"/>
  <c r="D25" i="3"/>
  <c r="K39" i="2"/>
  <c r="O39" i="2"/>
  <c r="D45" i="2"/>
  <c r="I84" i="3"/>
  <c r="D212" i="3"/>
  <c r="H288" i="3"/>
  <c r="H23" i="3"/>
  <c r="G26" i="3"/>
  <c r="I41" i="2"/>
  <c r="L42" i="2"/>
  <c r="K42" i="2"/>
  <c r="J162" i="3"/>
  <c r="M185" i="3"/>
  <c r="L288" i="3"/>
  <c r="K153" i="3"/>
  <c r="G41" i="3"/>
  <c r="R43" i="2"/>
  <c r="I31" i="2"/>
  <c r="H45" i="2"/>
  <c r="J57" i="3"/>
  <c r="L159" i="3"/>
  <c r="G289" i="3"/>
  <c r="J180" i="3"/>
  <c r="G152" i="3"/>
  <c r="N33" i="2"/>
  <c r="C33" i="2"/>
  <c r="L21" i="3"/>
  <c r="H284" i="3"/>
  <c r="I230" i="3"/>
  <c r="J282" i="3"/>
  <c r="Q25" i="2"/>
  <c r="F45" i="3"/>
  <c r="K44" i="2"/>
  <c r="D28" i="2"/>
  <c r="L42" i="3"/>
  <c r="M283" i="3"/>
  <c r="D31" i="3"/>
  <c r="G42" i="2"/>
  <c r="M30" i="3"/>
  <c r="H37" i="2"/>
  <c r="C23" i="2"/>
  <c r="C27" i="2"/>
  <c r="G204" i="3"/>
  <c r="H256" i="3"/>
  <c r="I33" i="3"/>
  <c r="G37" i="3"/>
  <c r="I43" i="3"/>
  <c r="S40" i="1"/>
  <c r="U23" i="1"/>
  <c r="R23" i="1"/>
  <c r="F101" i="3"/>
  <c r="J24" i="3"/>
  <c r="L26" i="3"/>
  <c r="K214" i="3"/>
  <c r="D237" i="3"/>
  <c r="F128" i="3"/>
  <c r="K232" i="3"/>
  <c r="E23" i="2"/>
  <c r="N34" i="2"/>
  <c r="E31" i="2"/>
  <c r="L86" i="3"/>
  <c r="D80" i="3"/>
  <c r="M262" i="3"/>
  <c r="G153" i="3"/>
  <c r="I152" i="3"/>
  <c r="O37" i="2"/>
  <c r="K23" i="2"/>
  <c r="E35" i="2"/>
  <c r="F136" i="3"/>
  <c r="J212" i="3"/>
  <c r="F103" i="3"/>
  <c r="M233" i="3"/>
  <c r="I205" i="3"/>
  <c r="F42" i="2"/>
  <c r="H42" i="2"/>
  <c r="C44" i="2"/>
  <c r="J164" i="3"/>
  <c r="M213" i="3"/>
  <c r="I104" i="3"/>
  <c r="H154" i="3"/>
  <c r="I258" i="3"/>
  <c r="F43" i="2"/>
  <c r="R36" i="2"/>
  <c r="C28" i="2"/>
  <c r="D231" i="3"/>
  <c r="F28" i="3"/>
  <c r="G30" i="3"/>
  <c r="K36" i="3"/>
  <c r="G230" i="3"/>
  <c r="K43" i="2"/>
  <c r="P35" i="2"/>
  <c r="I284" i="3"/>
  <c r="J230" i="3"/>
  <c r="K282" i="3"/>
  <c r="K37" i="3"/>
  <c r="I44" i="3"/>
  <c r="G33" i="2"/>
  <c r="E25" i="2"/>
  <c r="L28" i="2"/>
  <c r="M27" i="3"/>
  <c r="D29" i="3"/>
  <c r="F32" i="3"/>
  <c r="G36" i="3"/>
  <c r="I42" i="3"/>
  <c r="F35" i="3"/>
  <c r="R40" i="1"/>
  <c r="M22" i="1"/>
  <c r="F23" i="1"/>
  <c r="R21" i="1"/>
  <c r="N23" i="1"/>
  <c r="K21" i="1"/>
  <c r="H259" i="3"/>
  <c r="L258" i="3"/>
  <c r="D83" i="3"/>
  <c r="L106" i="3"/>
  <c r="G156" i="3"/>
  <c r="D259" i="3"/>
  <c r="H152" i="3"/>
  <c r="D42" i="2"/>
  <c r="N23" i="2"/>
  <c r="G29" i="2"/>
  <c r="D135" i="3"/>
  <c r="K184" i="3"/>
  <c r="L49" i="3"/>
  <c r="J40" i="3"/>
  <c r="G35" i="2"/>
  <c r="J42" i="2"/>
  <c r="R33" i="2"/>
  <c r="I61" i="3"/>
  <c r="G134" i="3"/>
  <c r="G210" i="3"/>
  <c r="L234" i="3"/>
  <c r="F285" i="3"/>
  <c r="C36" i="2"/>
  <c r="F39" i="2"/>
  <c r="C42" i="2"/>
  <c r="K27" i="2"/>
  <c r="G188" i="3"/>
  <c r="F158" i="3"/>
  <c r="K50" i="3"/>
  <c r="L126" i="3"/>
  <c r="J37" i="2"/>
  <c r="O36" i="2"/>
  <c r="F21" i="3"/>
  <c r="K31" i="2"/>
  <c r="D257" i="3"/>
  <c r="F29" i="3"/>
  <c r="G32" i="3"/>
  <c r="H178" i="3"/>
  <c r="J35" i="3"/>
  <c r="N31" i="2"/>
  <c r="D36" i="2"/>
  <c r="I204" i="3"/>
  <c r="J256" i="3"/>
  <c r="K33" i="3"/>
  <c r="G231" i="3"/>
  <c r="L37" i="3"/>
  <c r="P34" i="2"/>
  <c r="Q23" i="2"/>
  <c r="L231" i="3"/>
  <c r="M28" i="3"/>
  <c r="D282" i="3"/>
  <c r="F36" i="3"/>
  <c r="N37" i="2"/>
  <c r="K256" i="3"/>
  <c r="G40" i="1"/>
  <c r="X22" i="1"/>
  <c r="I21" i="1"/>
  <c r="G206" i="3"/>
  <c r="K205" i="3"/>
  <c r="H189" i="3"/>
  <c r="H132" i="3"/>
  <c r="F182" i="3"/>
  <c r="L206" i="3"/>
  <c r="M152" i="3"/>
  <c r="Q44" i="2"/>
  <c r="M44" i="2"/>
  <c r="D31" i="2"/>
  <c r="H241" i="3"/>
  <c r="I237" i="3"/>
  <c r="I207" i="3"/>
  <c r="G25" i="3"/>
  <c r="K29" i="2"/>
  <c r="G25" i="2"/>
  <c r="P45" i="2"/>
  <c r="J192" i="3"/>
  <c r="K81" i="3"/>
  <c r="D104" i="3"/>
  <c r="H49" i="3"/>
  <c r="D40" i="3"/>
  <c r="F34" i="2"/>
  <c r="D44" i="2"/>
  <c r="L41" i="2"/>
  <c r="R34" i="2"/>
  <c r="J294" i="3"/>
  <c r="M105" i="3"/>
  <c r="K208" i="3"/>
  <c r="K179" i="3"/>
  <c r="D25" i="2"/>
  <c r="F44" i="2"/>
  <c r="G26" i="2"/>
  <c r="I21" i="3"/>
  <c r="I257" i="3"/>
  <c r="J29" i="3"/>
  <c r="K32" i="3"/>
  <c r="K231" i="3"/>
  <c r="H37" i="3"/>
  <c r="J34" i="2"/>
  <c r="L35" i="2"/>
  <c r="M204" i="3"/>
  <c r="D45" i="3"/>
  <c r="F34" i="3"/>
  <c r="J284" i="3"/>
  <c r="P31" i="2"/>
  <c r="G37" i="2"/>
  <c r="R26" i="2"/>
  <c r="G284" i="3"/>
  <c r="H230" i="3"/>
  <c r="I282" i="3"/>
  <c r="J36" i="3"/>
  <c r="F215" i="3"/>
  <c r="G266" i="3"/>
  <c r="F53" i="3"/>
  <c r="I77" i="3"/>
  <c r="I50" i="3"/>
  <c r="J154" i="3"/>
  <c r="H38" i="3"/>
  <c r="D138" i="3"/>
  <c r="L57" i="3"/>
  <c r="J109" i="3"/>
  <c r="H108" i="3"/>
  <c r="K213" i="3"/>
  <c r="M265" i="3"/>
  <c r="J211" i="3"/>
  <c r="M290" i="3"/>
  <c r="D130" i="3"/>
  <c r="F156" i="3"/>
  <c r="D76" i="3"/>
  <c r="M128" i="3"/>
  <c r="K154" i="3"/>
  <c r="K286" i="3"/>
  <c r="F24" i="3"/>
  <c r="F25" i="3"/>
  <c r="G286" i="3"/>
  <c r="K40" i="3"/>
  <c r="F243" i="3"/>
  <c r="G292" i="3"/>
  <c r="K289" i="3"/>
  <c r="D233" i="3"/>
  <c r="F205" i="3"/>
  <c r="I42" i="2"/>
  <c r="I25" i="2"/>
  <c r="E33" i="2"/>
  <c r="M189" i="3"/>
  <c r="D105" i="3"/>
  <c r="J128" i="3"/>
  <c r="D285" i="3"/>
  <c r="K33" i="2"/>
  <c r="J36" i="2"/>
  <c r="N44" i="2"/>
  <c r="C34" i="2"/>
  <c r="J267" i="3"/>
  <c r="F290" i="3"/>
  <c r="G75" i="3"/>
  <c r="H179" i="3"/>
  <c r="O29" i="2"/>
  <c r="R42" i="2"/>
  <c r="G41" i="2"/>
  <c r="D39" i="2"/>
  <c r="F109" i="3"/>
  <c r="I53" i="3"/>
  <c r="K129" i="3"/>
  <c r="M39" i="3"/>
  <c r="J26" i="3"/>
  <c r="H41" i="2"/>
  <c r="I29" i="2"/>
  <c r="I26" i="2"/>
  <c r="F27" i="3"/>
  <c r="G44" i="3"/>
  <c r="H31" i="3"/>
  <c r="F22" i="3"/>
  <c r="M32" i="3"/>
  <c r="R28" i="2"/>
  <c r="I22" i="3"/>
  <c r="J257" i="3"/>
  <c r="K29" i="3"/>
  <c r="L32" i="3"/>
  <c r="H26" i="2"/>
  <c r="K34" i="3"/>
  <c r="C35" i="2"/>
  <c r="O23" i="2"/>
  <c r="M178" i="3"/>
  <c r="D28" i="3"/>
  <c r="F30" i="3"/>
  <c r="G35" i="3"/>
  <c r="L34" i="2"/>
  <c r="M44" i="3"/>
  <c r="T40" i="1"/>
  <c r="S23" i="1"/>
  <c r="S21" i="1"/>
  <c r="J127" i="3"/>
  <c r="D232" i="3"/>
  <c r="F271" i="3"/>
  <c r="F107" i="3"/>
  <c r="M104" i="3"/>
  <c r="L154" i="3"/>
  <c r="K25" i="3"/>
  <c r="R37" i="2"/>
  <c r="J45" i="2"/>
  <c r="L44" i="2"/>
  <c r="D296" i="3"/>
  <c r="M132" i="3"/>
  <c r="F76" i="3"/>
  <c r="H126" i="3"/>
  <c r="M26" i="3"/>
  <c r="F23" i="2"/>
  <c r="L36" i="2"/>
  <c r="G34" i="2"/>
  <c r="K56" i="3"/>
  <c r="K264" i="3"/>
  <c r="J76" i="3"/>
  <c r="I39" i="3"/>
  <c r="L41" i="3"/>
  <c r="Q26" i="2"/>
  <c r="I36" i="2"/>
  <c r="G28" i="2"/>
  <c r="L136" i="3"/>
  <c r="G106" i="3"/>
  <c r="D262" i="3"/>
  <c r="H286" i="3"/>
  <c r="L152" i="3"/>
  <c r="C39" i="2"/>
  <c r="O45" i="2"/>
  <c r="H21" i="3"/>
  <c r="L284" i="3"/>
  <c r="M230" i="3"/>
  <c r="D46" i="3"/>
  <c r="O31" i="2"/>
  <c r="I30" i="3"/>
  <c r="J35" i="2"/>
  <c r="H23" i="2"/>
  <c r="G27" i="3"/>
  <c r="H44" i="3"/>
  <c r="I31" i="3"/>
  <c r="N26" i="2"/>
  <c r="K46" i="3"/>
  <c r="Q29" i="2"/>
  <c r="J33" i="2"/>
  <c r="M25" i="2"/>
  <c r="K204" i="3"/>
  <c r="L256" i="3"/>
  <c r="M33" i="3"/>
  <c r="R31" i="2"/>
  <c r="L28" i="3"/>
  <c r="F40" i="1"/>
  <c r="V23" i="1"/>
  <c r="M23" i="1"/>
  <c r="V22" i="1"/>
  <c r="F21" i="1"/>
  <c r="D22" i="1"/>
  <c r="Y21" i="1"/>
  <c r="M100" i="3"/>
  <c r="I41" i="3"/>
  <c r="L109" i="3"/>
  <c r="J158" i="3"/>
  <c r="H261" i="3"/>
  <c r="L23" i="3"/>
  <c r="K26" i="3"/>
  <c r="D41" i="2"/>
  <c r="M45" i="2"/>
  <c r="F29" i="2"/>
  <c r="D81" i="3"/>
  <c r="J130" i="3"/>
  <c r="I233" i="3"/>
  <c r="K258" i="3"/>
  <c r="K37" i="2"/>
  <c r="J41" i="2"/>
  <c r="H36" i="2"/>
  <c r="H137" i="3"/>
  <c r="D133" i="3"/>
  <c r="L236" i="3"/>
  <c r="K101" i="3"/>
  <c r="M25" i="3"/>
  <c r="R41" i="2"/>
  <c r="H29" i="2"/>
  <c r="H34" i="2"/>
  <c r="G219" i="3"/>
  <c r="M134" i="3"/>
  <c r="J290" i="3"/>
  <c r="I181" i="3"/>
  <c r="H40" i="3"/>
  <c r="R35" i="2"/>
  <c r="O35" i="2"/>
  <c r="D35" i="2"/>
  <c r="J21" i="3"/>
  <c r="L204" i="3"/>
  <c r="M256" i="3"/>
  <c r="D34" i="3"/>
  <c r="G257" i="3"/>
  <c r="P25" i="2"/>
  <c r="F25" i="2"/>
  <c r="F231" i="3"/>
  <c r="G28" i="3"/>
  <c r="H30" i="3"/>
  <c r="I35" i="3"/>
  <c r="D43" i="3"/>
  <c r="J31" i="2"/>
  <c r="P33" i="2"/>
  <c r="L26" i="2"/>
  <c r="J42" i="3"/>
  <c r="K283" i="3"/>
  <c r="L46" i="3"/>
  <c r="M37" i="3"/>
  <c r="P27" i="2"/>
  <c r="F31" i="3"/>
  <c r="Y40" i="1"/>
  <c r="Y22" i="1"/>
  <c r="G21" i="1"/>
  <c r="L39" i="3"/>
  <c r="M41" i="3"/>
  <c r="I82" i="3"/>
  <c r="I78" i="3"/>
  <c r="F155" i="3"/>
  <c r="M126" i="3"/>
  <c r="J39" i="2"/>
  <c r="Q42" i="2"/>
  <c r="P41" i="2"/>
  <c r="J273" i="3"/>
  <c r="I293" i="3"/>
  <c r="H236" i="3"/>
  <c r="K48" i="3"/>
  <c r="H205" i="3"/>
  <c r="I23" i="2"/>
  <c r="F27" i="2"/>
  <c r="M29" i="2"/>
  <c r="M296" i="3"/>
  <c r="J54" i="3"/>
  <c r="H51" i="3"/>
  <c r="H74" i="3"/>
  <c r="G258" i="3"/>
  <c r="D23" i="2"/>
  <c r="N43" i="2"/>
  <c r="P43" i="2"/>
  <c r="H298" i="3"/>
  <c r="G240" i="3"/>
  <c r="J52" i="3"/>
  <c r="G287" i="3"/>
  <c r="M40" i="3"/>
  <c r="F45" i="2"/>
  <c r="Q41" i="2"/>
  <c r="D27" i="2"/>
  <c r="F178" i="3"/>
  <c r="I109" i="3"/>
  <c r="J213" i="3"/>
  <c r="M264" i="3"/>
  <c r="G183" i="3"/>
  <c r="F261" i="3"/>
  <c r="J47" i="3"/>
  <c r="J23" i="3"/>
  <c r="F164" i="3"/>
  <c r="J136" i="3"/>
  <c r="M82" i="3"/>
  <c r="K134" i="3"/>
  <c r="F186" i="3"/>
  <c r="D79" i="3"/>
  <c r="I158" i="3"/>
  <c r="G52" i="3"/>
  <c r="L183" i="3"/>
  <c r="M103" i="3"/>
  <c r="K261" i="3"/>
  <c r="K234" i="3"/>
  <c r="I47" i="3"/>
  <c r="L259" i="3"/>
  <c r="D23" i="3"/>
  <c r="G205" i="3"/>
  <c r="F153" i="3"/>
  <c r="J152" i="3"/>
  <c r="K295" i="3"/>
  <c r="K291" i="3"/>
  <c r="M235" i="3"/>
  <c r="J100" i="3"/>
  <c r="J41" i="3"/>
  <c r="M37" i="2"/>
  <c r="O44" i="2"/>
  <c r="R29" i="2"/>
  <c r="H161" i="3"/>
  <c r="L263" i="3"/>
  <c r="G101" i="3"/>
  <c r="L25" i="3"/>
  <c r="I44" i="2"/>
  <c r="R44" i="2"/>
  <c r="O28" i="2"/>
  <c r="K112" i="3"/>
  <c r="G213" i="3"/>
  <c r="G77" i="3"/>
  <c r="F260" i="3"/>
  <c r="L40" i="3"/>
  <c r="M28" i="2"/>
  <c r="O42" i="2"/>
  <c r="Q43" i="2"/>
  <c r="D247" i="3"/>
  <c r="F214" i="3"/>
  <c r="D78" i="3"/>
  <c r="I102" i="3"/>
  <c r="J232" i="3"/>
  <c r="M36" i="2"/>
  <c r="M39" i="2"/>
  <c r="N36" i="2"/>
  <c r="G21" i="3"/>
  <c r="M257" i="3"/>
  <c r="D256" i="3"/>
  <c r="F33" i="3"/>
  <c r="D42" i="3"/>
  <c r="D43" i="2"/>
  <c r="L33" i="2"/>
  <c r="G178" i="3"/>
  <c r="H43" i="3"/>
  <c r="I45" i="3"/>
  <c r="J34" i="3"/>
  <c r="M42" i="3"/>
  <c r="M31" i="2"/>
  <c r="E41" i="2"/>
  <c r="C26" i="2"/>
  <c r="K284" i="3"/>
  <c r="L230" i="3"/>
  <c r="M282" i="3"/>
  <c r="D37" i="3"/>
  <c r="L22" i="3"/>
  <c r="H282" i="3"/>
  <c r="Q40" i="1"/>
  <c r="I23" i="1"/>
  <c r="T21" i="1"/>
  <c r="L48" i="3"/>
  <c r="J25" i="3"/>
  <c r="K216" i="3"/>
  <c r="I265" i="3"/>
  <c r="I262" i="3"/>
  <c r="L286" i="3"/>
  <c r="L205" i="3"/>
  <c r="J23" i="2"/>
  <c r="I43" i="2"/>
  <c r="H33" i="2"/>
  <c r="D162" i="3"/>
  <c r="M78" i="3"/>
  <c r="H234" i="3"/>
  <c r="M285" i="3"/>
  <c r="L39" i="2"/>
  <c r="K26" i="2"/>
  <c r="Q39" i="2"/>
  <c r="H167" i="3"/>
  <c r="M161" i="3"/>
  <c r="M237" i="3"/>
  <c r="D181" i="3"/>
  <c r="G232" i="3"/>
  <c r="H31" i="2"/>
  <c r="O25" i="2"/>
  <c r="D26" i="2"/>
  <c r="F33" i="2"/>
  <c r="F56" i="3"/>
  <c r="F211" i="3"/>
  <c r="I235" i="3"/>
  <c r="K24" i="3"/>
  <c r="E37" i="2"/>
  <c r="N41" i="2"/>
  <c r="H28" i="2"/>
  <c r="D29" i="2"/>
  <c r="J27" i="3"/>
  <c r="K44" i="3"/>
  <c r="L31" i="3"/>
  <c r="M41" i="2"/>
  <c r="G34" i="3"/>
  <c r="G22" i="3"/>
  <c r="K22" i="3"/>
  <c r="D204" i="3"/>
  <c r="F256" i="3"/>
  <c r="G33" i="3"/>
  <c r="J27" i="2"/>
  <c r="D36" i="3"/>
  <c r="M34" i="2"/>
  <c r="J28" i="2"/>
  <c r="H231" i="3"/>
  <c r="I28" i="3"/>
  <c r="J30" i="3"/>
  <c r="K35" i="3"/>
  <c r="N45" i="2"/>
  <c r="G256" i="3"/>
  <c r="X40" i="1"/>
  <c r="D23" i="1"/>
  <c r="F22" i="1"/>
  <c r="N21" i="1"/>
  <c r="V21" i="1"/>
  <c r="P22" i="1"/>
  <c r="M47" i="3"/>
  <c r="I23" i="3"/>
  <c r="L300" i="3"/>
  <c r="L55" i="3"/>
  <c r="F52" i="3"/>
  <c r="M181" i="3"/>
  <c r="J285" i="3"/>
  <c r="A32" i="2"/>
  <c r="H43" i="2"/>
  <c r="J43" i="2"/>
  <c r="M218" i="3"/>
  <c r="I239" i="3"/>
  <c r="K156" i="3"/>
  <c r="D39" i="3"/>
  <c r="F41" i="3"/>
  <c r="P37" i="2"/>
  <c r="G45" i="2"/>
  <c r="H35" i="2"/>
  <c r="J242" i="3"/>
  <c r="F79" i="3"/>
  <c r="G129" i="3"/>
  <c r="G48" i="3"/>
  <c r="D152" i="3"/>
  <c r="I37" i="2"/>
  <c r="N42" i="2"/>
  <c r="L43" i="2"/>
  <c r="G190" i="3"/>
  <c r="G186" i="3"/>
  <c r="K77" i="3"/>
  <c r="L47" i="3"/>
  <c r="D205" i="3"/>
  <c r="E39" i="2"/>
  <c r="E29" i="2"/>
  <c r="H22" i="3"/>
  <c r="I231" i="3"/>
  <c r="J28" i="3"/>
  <c r="K30" i="3"/>
  <c r="J37" i="3"/>
  <c r="D44" i="3"/>
  <c r="K45" i="2"/>
  <c r="E26" i="2"/>
  <c r="M284" i="3"/>
  <c r="D283" i="3"/>
  <c r="F46" i="3"/>
  <c r="O33" i="2"/>
  <c r="L29" i="3"/>
  <c r="L31" i="2"/>
  <c r="J26" i="2"/>
  <c r="G31" i="2"/>
  <c r="H257" i="3"/>
  <c r="I29" i="3"/>
  <c r="J32" i="3"/>
  <c r="F37" i="3"/>
  <c r="L27" i="3"/>
  <c r="I36" i="3"/>
  <c r="V40" i="1"/>
  <c r="S22" i="1"/>
  <c r="D47" i="3"/>
  <c r="G126" i="3"/>
  <c r="M140" i="3"/>
  <c r="I187" i="3"/>
  <c r="H263" i="3"/>
  <c r="K287" i="3"/>
  <c r="I40" i="3"/>
  <c r="I34" i="2"/>
  <c r="C41" i="2"/>
  <c r="O27" i="2"/>
  <c r="M59" i="3"/>
  <c r="L292" i="3"/>
  <c r="J182" i="3"/>
  <c r="F38" i="3"/>
  <c r="K41" i="3"/>
  <c r="H27" i="2"/>
  <c r="C43" i="2"/>
  <c r="P44" i="2"/>
  <c r="G268" i="3"/>
  <c r="I238" i="3"/>
  <c r="D235" i="3"/>
  <c r="M259" i="3"/>
  <c r="K152" i="3"/>
  <c r="K34" i="2"/>
  <c r="Q37" i="2"/>
  <c r="Q34" i="2"/>
  <c r="L269" i="3"/>
  <c r="J133" i="3"/>
  <c r="I183" i="3"/>
  <c r="L74" i="3"/>
  <c r="J205" i="3"/>
  <c r="H39" i="2"/>
  <c r="H44" i="2"/>
  <c r="G27" i="2"/>
  <c r="M231" i="3"/>
  <c r="D230" i="3"/>
  <c r="F282" i="3"/>
  <c r="P26" i="2"/>
  <c r="H29" i="3"/>
  <c r="E43" i="2"/>
  <c r="I27" i="2"/>
  <c r="H42" i="3"/>
  <c r="I283" i="3"/>
  <c r="J46" i="3"/>
  <c r="J25" i="2"/>
  <c r="J45" i="3"/>
  <c r="G23" i="2"/>
  <c r="P42" i="2"/>
  <c r="L23" i="2"/>
  <c r="L257" i="3"/>
  <c r="M29" i="3"/>
  <c r="D33" i="3"/>
  <c r="H36" i="3"/>
  <c r="F204" i="3"/>
  <c r="M36" i="3"/>
  <c r="L23" i="1"/>
  <c r="W23" i="1"/>
  <c r="Q23" i="1"/>
  <c r="F291" i="3"/>
  <c r="E45" i="2"/>
  <c r="G43" i="3"/>
  <c r="I34" i="3"/>
  <c r="J44" i="2"/>
  <c r="J231" i="3"/>
  <c r="L30" i="3"/>
  <c r="H28" i="3"/>
  <c r="C31" i="2"/>
  <c r="D27" i="3"/>
  <c r="G31" i="3"/>
  <c r="D34" i="2"/>
  <c r="I32" i="3"/>
  <c r="T22" i="1"/>
  <c r="R22" i="1"/>
  <c r="X21" i="1"/>
  <c r="W22" i="1"/>
  <c r="I22" i="1"/>
  <c r="R51" i="2"/>
  <c r="L49" i="2"/>
  <c r="C52" i="2"/>
  <c r="J49" i="2"/>
  <c r="G47" i="2"/>
  <c r="G53" i="2"/>
  <c r="O49" i="2"/>
  <c r="F47" i="2"/>
  <c r="I51" i="2"/>
  <c r="E50" i="2"/>
  <c r="D49" i="2"/>
  <c r="Q47" i="2"/>
  <c r="C50" i="2"/>
  <c r="I53" i="2"/>
  <c r="M53" i="2"/>
  <c r="L47" i="2"/>
  <c r="M50" i="2"/>
  <c r="D52" i="2"/>
  <c r="C47" i="2"/>
  <c r="M49" i="2"/>
  <c r="G51" i="2"/>
  <c r="N50" i="2"/>
  <c r="R50" i="2"/>
  <c r="J103" i="3"/>
  <c r="Q35" i="2"/>
  <c r="L283" i="3"/>
  <c r="K25" i="2"/>
  <c r="O26" i="2"/>
  <c r="F257" i="3"/>
  <c r="H32" i="3"/>
  <c r="H33" i="3"/>
  <c r="C25" i="2"/>
  <c r="J43" i="3"/>
  <c r="L34" i="3"/>
  <c r="L178" i="3"/>
  <c r="P40" i="1"/>
  <c r="O22" i="1"/>
  <c r="K22" i="1"/>
  <c r="L21" i="1"/>
  <c r="T23" i="1"/>
  <c r="W21" i="1"/>
  <c r="I47" i="2"/>
  <c r="M47" i="2"/>
  <c r="G49" i="2"/>
  <c r="M51" i="2"/>
  <c r="O52" i="2"/>
  <c r="F51" i="2"/>
  <c r="C51" i="2"/>
  <c r="Q52" i="2"/>
  <c r="P47" i="2"/>
  <c r="J51" i="2"/>
  <c r="P51" i="2"/>
  <c r="R52" i="2"/>
  <c r="F52" i="2"/>
  <c r="H49" i="2"/>
  <c r="D47" i="2"/>
  <c r="L52" i="2"/>
  <c r="K53" i="2"/>
  <c r="Q53" i="2"/>
  <c r="I49" i="2"/>
  <c r="H50" i="2"/>
  <c r="P49" i="2"/>
  <c r="R49" i="2"/>
  <c r="D53" i="2"/>
  <c r="R47" i="2"/>
  <c r="Q49" i="2"/>
  <c r="K52" i="2"/>
  <c r="E49" i="2"/>
  <c r="L53" i="2"/>
  <c r="O47" i="2"/>
  <c r="F49" i="2"/>
  <c r="K51" i="2"/>
  <c r="F50" i="2"/>
  <c r="F100" i="3"/>
  <c r="H25" i="2"/>
  <c r="H45" i="3"/>
  <c r="J204" i="3"/>
  <c r="P23" i="2"/>
  <c r="K28" i="3"/>
  <c r="M35" i="3"/>
  <c r="Q28" i="2"/>
  <c r="M42" i="2"/>
  <c r="F44" i="3"/>
  <c r="M34" i="3"/>
  <c r="J283" i="3"/>
  <c r="M40" i="1"/>
  <c r="Y23" i="1"/>
  <c r="Q22" i="1"/>
  <c r="P21" i="1"/>
  <c r="U22" i="1"/>
  <c r="D21" i="1"/>
  <c r="H53" i="2"/>
  <c r="L51" i="2"/>
  <c r="E52" i="2"/>
  <c r="Q51" i="2"/>
  <c r="K50" i="2"/>
  <c r="D51" i="2"/>
  <c r="P50" i="2"/>
  <c r="G52" i="2"/>
  <c r="N51" i="2"/>
  <c r="P52" i="2"/>
  <c r="D26" i="3"/>
  <c r="K42" i="3"/>
  <c r="M46" i="3"/>
  <c r="J31" i="3"/>
  <c r="K21" i="3"/>
  <c r="G29" i="3"/>
  <c r="I45" i="2"/>
  <c r="G44" i="2"/>
  <c r="I178" i="3"/>
  <c r="K45" i="3"/>
  <c r="M26" i="2"/>
  <c r="D30" i="3"/>
  <c r="I40" i="1"/>
  <c r="O23" i="1"/>
  <c r="M21" i="1"/>
  <c r="U21" i="1"/>
  <c r="L22" i="1"/>
  <c r="I52" i="2"/>
  <c r="I50" i="2"/>
  <c r="J47" i="2"/>
  <c r="A48" i="2"/>
  <c r="E53" i="2"/>
  <c r="P53" i="2"/>
  <c r="E51" i="2"/>
  <c r="H47" i="2"/>
  <c r="N47" i="2"/>
  <c r="G50" i="2"/>
  <c r="K47" i="2"/>
  <c r="J50" i="2"/>
  <c r="D50" i="2"/>
  <c r="C49" i="2"/>
  <c r="N53" i="2"/>
  <c r="E47" i="2"/>
  <c r="K49" i="2"/>
  <c r="O53" i="2"/>
  <c r="O51" i="2"/>
  <c r="J52" i="2"/>
  <c r="J53" i="2"/>
  <c r="N52" i="2"/>
  <c r="Q50" i="2"/>
  <c r="N49" i="2"/>
  <c r="R53" i="2"/>
  <c r="H52" i="2"/>
  <c r="M52" i="2"/>
  <c r="F53" i="2"/>
  <c r="H51" i="2"/>
  <c r="L50" i="2"/>
  <c r="O50" i="2"/>
  <c r="K60" i="2"/>
  <c r="D60" i="2"/>
  <c r="N60" i="2"/>
  <c r="K58" i="2"/>
  <c r="Q60" i="2"/>
  <c r="H57" i="2"/>
  <c r="S24" i="1"/>
  <c r="M60" i="2"/>
  <c r="K57" i="2"/>
  <c r="D57" i="2"/>
  <c r="W24" i="1"/>
  <c r="N61" i="2"/>
  <c r="L60" i="2"/>
  <c r="H55" i="2"/>
  <c r="D59" i="2"/>
  <c r="P59" i="2"/>
  <c r="I61" i="2"/>
  <c r="G24" i="1"/>
  <c r="T24" i="1"/>
  <c r="O55" i="2"/>
  <c r="D58" i="2"/>
  <c r="N58" i="2"/>
  <c r="R55" i="2"/>
  <c r="C55" i="2"/>
  <c r="N55" i="2"/>
  <c r="M61" i="2"/>
  <c r="F61" i="2"/>
  <c r="I59" i="2"/>
  <c r="R24" i="1"/>
  <c r="Q24" i="1"/>
  <c r="F58" i="2"/>
  <c r="G60" i="2"/>
  <c r="P55" i="2"/>
  <c r="J60" i="2"/>
  <c r="G57" i="2"/>
  <c r="I24" i="1"/>
  <c r="Q61" i="2"/>
  <c r="L24" i="1"/>
  <c r="L58" i="2"/>
  <c r="R60" i="2"/>
  <c r="E61" i="2"/>
  <c r="P57" i="2"/>
  <c r="I17" i="8"/>
  <c r="F60" i="2"/>
  <c r="R57" i="2"/>
  <c r="O61" i="2"/>
  <c r="R59" i="2"/>
  <c r="G61" i="2"/>
  <c r="P58" i="2"/>
  <c r="K59" i="2"/>
  <c r="K24" i="1"/>
  <c r="M24" i="1"/>
  <c r="R61" i="2"/>
  <c r="N59" i="2"/>
  <c r="E58" i="2"/>
  <c r="F24" i="1"/>
  <c r="E55" i="2"/>
  <c r="C58" i="2"/>
  <c r="E60" i="2"/>
  <c r="N57" i="2"/>
  <c r="E57" i="2"/>
  <c r="O60" i="2"/>
  <c r="P24" i="1"/>
  <c r="M58" i="2"/>
  <c r="R58" i="2"/>
  <c r="H61" i="2"/>
  <c r="I57" i="2"/>
  <c r="E59" i="2"/>
  <c r="Q59" i="2"/>
  <c r="H59" i="2"/>
  <c r="J59" i="2"/>
  <c r="O59" i="2"/>
  <c r="U24" i="1"/>
  <c r="O57" i="2"/>
  <c r="M57" i="2"/>
  <c r="D24" i="1"/>
  <c r="V24" i="1"/>
  <c r="F57" i="2"/>
  <c r="Q55" i="2"/>
  <c r="L55" i="2"/>
  <c r="L57" i="2"/>
  <c r="A56" i="2"/>
  <c r="M59" i="2"/>
  <c r="M55" i="2"/>
  <c r="P61" i="2"/>
  <c r="C60" i="2"/>
  <c r="L61" i="2"/>
  <c r="O58" i="2"/>
  <c r="G59" i="2"/>
  <c r="G55" i="2"/>
  <c r="Q58" i="2"/>
  <c r="I60" i="2"/>
  <c r="F59" i="2"/>
  <c r="H58" i="2"/>
  <c r="K61" i="2"/>
  <c r="D61" i="2"/>
  <c r="P60" i="2"/>
  <c r="C57" i="2"/>
  <c r="D55" i="2"/>
  <c r="Y24" i="1"/>
  <c r="G58" i="2"/>
  <c r="C59" i="2"/>
  <c r="L59" i="2"/>
  <c r="J55" i="2"/>
  <c r="I55" i="2"/>
  <c r="J58" i="2"/>
  <c r="O24" i="1"/>
  <c r="J57" i="2"/>
  <c r="K55" i="2"/>
  <c r="I58" i="2"/>
  <c r="X24" i="1"/>
  <c r="J61" i="2"/>
  <c r="F55" i="2"/>
  <c r="H60" i="2"/>
  <c r="N24" i="1"/>
  <c r="Q57" i="2"/>
  <c r="K40" i="1"/>
  <c r="J40" i="1" l="1"/>
  <c r="E48" i="2"/>
  <c r="C48" i="2"/>
  <c r="E26" i="3"/>
  <c r="C21" i="1"/>
  <c r="H21" i="1"/>
  <c r="AG21" i="1" s="1"/>
  <c r="AK21" i="1" s="1"/>
  <c r="AN21" i="1" s="1"/>
  <c r="AE21" i="1"/>
  <c r="AF21" i="1" s="1"/>
  <c r="D48" i="2"/>
  <c r="J22" i="1"/>
  <c r="F48" i="2"/>
  <c r="G48" i="2"/>
  <c r="G24" i="2"/>
  <c r="E47" i="3"/>
  <c r="G32" i="2"/>
  <c r="E40" i="2"/>
  <c r="C32" i="2"/>
  <c r="C23" i="1"/>
  <c r="H23" i="1"/>
  <c r="AG23" i="1" s="1"/>
  <c r="AK23" i="1" s="1"/>
  <c r="AN23" i="1" s="1"/>
  <c r="AE23" i="1"/>
  <c r="AF23" i="1" s="1"/>
  <c r="E23" i="3"/>
  <c r="D24" i="2"/>
  <c r="AH21" i="1"/>
  <c r="AL21" i="1" s="1"/>
  <c r="C22" i="1"/>
  <c r="AE22" i="1"/>
  <c r="AF22" i="1" s="1"/>
  <c r="H22" i="1"/>
  <c r="AG22" i="1" s="1"/>
  <c r="AK22" i="1" s="1"/>
  <c r="AN22" i="1" s="1"/>
  <c r="F24" i="2"/>
  <c r="D40" i="2"/>
  <c r="D32" i="2"/>
  <c r="F40" i="2"/>
  <c r="J21" i="1"/>
  <c r="E32" i="2"/>
  <c r="E24" i="2"/>
  <c r="E25" i="3"/>
  <c r="F32" i="2"/>
  <c r="C40" i="2"/>
  <c r="AH23" i="1"/>
  <c r="AL23" i="1" s="1"/>
  <c r="J23" i="1"/>
  <c r="G40" i="2"/>
  <c r="E100" i="3"/>
  <c r="L6" i="10"/>
  <c r="AH22" i="1"/>
  <c r="AL22" i="1" s="1"/>
  <c r="C24" i="2"/>
  <c r="E21" i="3"/>
  <c r="E22" i="3"/>
  <c r="E75" i="3"/>
  <c r="E48" i="3"/>
  <c r="E49" i="3"/>
  <c r="E74" i="3"/>
  <c r="E77" i="3"/>
  <c r="E51" i="3"/>
  <c r="E24" i="3"/>
  <c r="E50" i="3"/>
  <c r="A21" i="5"/>
  <c r="H40" i="1"/>
  <c r="B40" i="1"/>
  <c r="H22" i="8"/>
  <c r="AD22" i="8"/>
  <c r="AE22" i="8"/>
  <c r="C13" i="5"/>
  <c r="C16" i="5" s="1"/>
  <c r="A22" i="5" s="1"/>
  <c r="H22" i="6"/>
  <c r="E73" i="3"/>
  <c r="L5" i="10"/>
  <c r="E99" i="3"/>
  <c r="E101" i="3"/>
  <c r="E103" i="3"/>
  <c r="B29" i="3"/>
  <c r="B54" i="3"/>
  <c r="B80" i="3" s="1"/>
  <c r="B106" i="3" s="1"/>
  <c r="C52" i="3"/>
  <c r="E52" i="3" s="1"/>
  <c r="A78" i="3"/>
  <c r="A53" i="3"/>
  <c r="A28" i="3"/>
  <c r="C27" i="3"/>
  <c r="E27" i="3" s="1"/>
  <c r="A102" i="3"/>
  <c r="C76" i="3"/>
  <c r="E76" i="3" s="1"/>
  <c r="AE24" i="1"/>
  <c r="AF24" i="1" s="1"/>
  <c r="C24" i="1"/>
  <c r="AH24" i="1"/>
  <c r="J24" i="1"/>
  <c r="A153" i="3"/>
  <c r="C127" i="3"/>
  <c r="B132" i="3"/>
  <c r="C129" i="3"/>
  <c r="A155" i="3"/>
  <c r="B155" i="3"/>
  <c r="E129" i="3"/>
  <c r="E127" i="3"/>
  <c r="B153" i="3"/>
  <c r="C24" i="9"/>
  <c r="E25" i="1"/>
  <c r="AB25" i="1"/>
  <c r="C125" i="3"/>
  <c r="E125" i="3" s="1"/>
  <c r="A151" i="3"/>
  <c r="A28" i="8"/>
  <c r="AC27" i="8"/>
  <c r="B209" i="3"/>
  <c r="J20" i="2"/>
  <c r="I21" i="2"/>
  <c r="B180" i="3"/>
  <c r="AC24" i="1"/>
  <c r="H24" i="1"/>
  <c r="AG24" i="1" s="1"/>
  <c r="AK24" i="1" s="1"/>
  <c r="H24" i="2"/>
  <c r="H40" i="2"/>
  <c r="H32" i="2"/>
  <c r="B152" i="3"/>
  <c r="E126" i="3"/>
  <c r="H48" i="2"/>
  <c r="B130" i="3"/>
  <c r="M32" i="4"/>
  <c r="L71" i="4"/>
  <c r="B25" i="9"/>
  <c r="A26" i="9"/>
  <c r="A204" i="3"/>
  <c r="C178" i="3"/>
  <c r="B151" i="3"/>
  <c r="E56" i="2"/>
  <c r="C56" i="2"/>
  <c r="G56" i="2"/>
  <c r="F56" i="2"/>
  <c r="D56" i="2"/>
  <c r="H56" i="2"/>
  <c r="I56" i="2"/>
  <c r="C45" i="2"/>
  <c r="M25" i="1"/>
  <c r="S25" i="1"/>
  <c r="X25" i="1"/>
  <c r="K25" i="1"/>
  <c r="O25" i="1"/>
  <c r="W25" i="1"/>
  <c r="I22" i="6"/>
  <c r="C37" i="2"/>
  <c r="C29" i="2"/>
  <c r="U25" i="1"/>
  <c r="V25" i="1"/>
  <c r="L25" i="1"/>
  <c r="R25" i="1"/>
  <c r="G25" i="1"/>
  <c r="Y25" i="1"/>
  <c r="I25" i="1"/>
  <c r="F25" i="1"/>
  <c r="C61" i="2"/>
  <c r="Q25" i="1"/>
  <c r="P25" i="1"/>
  <c r="D25" i="1"/>
  <c r="N25" i="1"/>
  <c r="T25" i="1"/>
  <c r="C53" i="2"/>
  <c r="I22" i="8"/>
  <c r="O22" i="6" l="1"/>
  <c r="O20" i="6" s="1"/>
  <c r="O22" i="8"/>
  <c r="O20" i="8" s="1"/>
  <c r="L2" i="6" s="1"/>
  <c r="K22" i="8"/>
  <c r="L22" i="8" s="1"/>
  <c r="M22" i="8" s="1"/>
  <c r="M20" i="8" s="1"/>
  <c r="D20" i="8" s="1"/>
  <c r="U6" i="8" s="1"/>
  <c r="K22" i="6"/>
  <c r="L22" i="6" s="1"/>
  <c r="M22" i="6" s="1"/>
  <c r="M20" i="6" s="1"/>
  <c r="D20" i="6" s="1"/>
  <c r="U6" i="6" s="1"/>
  <c r="C102" i="3"/>
  <c r="E102" i="3" s="1"/>
  <c r="A128" i="3"/>
  <c r="A104" i="3"/>
  <c r="C78" i="3"/>
  <c r="E78" i="3" s="1"/>
  <c r="C28" i="3"/>
  <c r="E28" i="3" s="1"/>
  <c r="A54" i="3"/>
  <c r="A29" i="3"/>
  <c r="C53" i="3"/>
  <c r="E53" i="3" s="1"/>
  <c r="A79" i="3"/>
  <c r="B30" i="3"/>
  <c r="B55" i="3"/>
  <c r="B81" i="3" s="1"/>
  <c r="B107" i="3" s="1"/>
  <c r="B133" i="3" s="1"/>
  <c r="B159" i="3" s="1"/>
  <c r="X6" i="6"/>
  <c r="K2" i="6"/>
  <c r="C25" i="1"/>
  <c r="AE25" i="1"/>
  <c r="AF25" i="1" s="1"/>
  <c r="AH25" i="1"/>
  <c r="J25" i="1"/>
  <c r="AL24" i="1"/>
  <c r="B178" i="3"/>
  <c r="E152" i="3"/>
  <c r="B235" i="3"/>
  <c r="C25" i="9"/>
  <c r="B181" i="3"/>
  <c r="C204" i="3"/>
  <c r="A230" i="3"/>
  <c r="N32" i="4"/>
  <c r="M71" i="4"/>
  <c r="B185" i="3"/>
  <c r="I24" i="2"/>
  <c r="I32" i="2"/>
  <c r="I40" i="2"/>
  <c r="I48" i="2"/>
  <c r="C151" i="3"/>
  <c r="E151" i="3" s="1"/>
  <c r="A177" i="3"/>
  <c r="B179" i="3"/>
  <c r="E153" i="3"/>
  <c r="A181" i="3"/>
  <c r="C155" i="3"/>
  <c r="E155" i="3" s="1"/>
  <c r="C153" i="3"/>
  <c r="A179" i="3"/>
  <c r="A27" i="9"/>
  <c r="B26" i="9"/>
  <c r="B156" i="3"/>
  <c r="AN24" i="1"/>
  <c r="J21" i="2"/>
  <c r="K20" i="2"/>
  <c r="A29" i="8"/>
  <c r="AC28" i="8"/>
  <c r="AC25" i="1"/>
  <c r="H25" i="1"/>
  <c r="AG25" i="1" s="1"/>
  <c r="AK25" i="1" s="1"/>
  <c r="B177" i="3"/>
  <c r="AD24" i="1"/>
  <c r="AJ24" i="1"/>
  <c r="AM24" i="1" s="1"/>
  <c r="B206" i="3"/>
  <c r="E26" i="1"/>
  <c r="AB26" i="1"/>
  <c r="B158" i="3"/>
  <c r="T26" i="1"/>
  <c r="Q26" i="1"/>
  <c r="L26" i="1"/>
  <c r="M26" i="1"/>
  <c r="D26" i="1"/>
  <c r="U26" i="1"/>
  <c r="X26" i="1"/>
  <c r="Y26" i="1"/>
  <c r="P26" i="1"/>
  <c r="O26" i="1"/>
  <c r="N26" i="1"/>
  <c r="V26" i="1"/>
  <c r="F26" i="1"/>
  <c r="G26" i="1"/>
  <c r="W26" i="1"/>
  <c r="S26" i="1"/>
  <c r="I26" i="1"/>
  <c r="K26" i="1"/>
  <c r="R26" i="1"/>
  <c r="X6" i="8" l="1"/>
  <c r="L2" i="9"/>
  <c r="C29" i="3"/>
  <c r="E29" i="3" s="1"/>
  <c r="A30" i="3"/>
  <c r="A55" i="3"/>
  <c r="A130" i="3"/>
  <c r="C104" i="3"/>
  <c r="E104" i="3" s="1"/>
  <c r="B31" i="3"/>
  <c r="B56" i="3"/>
  <c r="B82" i="3" s="1"/>
  <c r="B108" i="3" s="1"/>
  <c r="B134" i="3" s="1"/>
  <c r="B160" i="3" s="1"/>
  <c r="B186" i="3" s="1"/>
  <c r="B212" i="3" s="1"/>
  <c r="B238" i="3" s="1"/>
  <c r="C54" i="3"/>
  <c r="E54" i="3" s="1"/>
  <c r="A80" i="3"/>
  <c r="C128" i="3"/>
  <c r="E128" i="3" s="1"/>
  <c r="A154" i="3"/>
  <c r="A105" i="3"/>
  <c r="C79" i="3"/>
  <c r="E79" i="3" s="1"/>
  <c r="J26" i="1"/>
  <c r="AE26" i="1"/>
  <c r="AF26" i="1" s="1"/>
  <c r="BI26" i="1" s="1"/>
  <c r="BI24" i="1" s="1"/>
  <c r="C26" i="1"/>
  <c r="AH26" i="1"/>
  <c r="AL25" i="1"/>
  <c r="B184" i="3"/>
  <c r="AN25" i="1"/>
  <c r="B182" i="3"/>
  <c r="B211" i="3"/>
  <c r="AC26" i="1"/>
  <c r="H26" i="1"/>
  <c r="AG26" i="1" s="1"/>
  <c r="AK26" i="1" s="1"/>
  <c r="L20" i="2"/>
  <c r="K21" i="2"/>
  <c r="B264" i="3"/>
  <c r="C179" i="3"/>
  <c r="E179" i="3" s="1"/>
  <c r="A205" i="3"/>
  <c r="B205" i="3"/>
  <c r="N71" i="4"/>
  <c r="O32" i="4"/>
  <c r="C26" i="9"/>
  <c r="C181" i="3"/>
  <c r="A207" i="3"/>
  <c r="AJ25" i="1"/>
  <c r="AM25" i="1" s="1"/>
  <c r="AD25" i="1"/>
  <c r="B207" i="3"/>
  <c r="E181" i="3"/>
  <c r="AB27" i="1"/>
  <c r="E27" i="1"/>
  <c r="B232" i="3"/>
  <c r="B203" i="3"/>
  <c r="AC29" i="8"/>
  <c r="A30" i="8"/>
  <c r="J24" i="2"/>
  <c r="J32" i="2"/>
  <c r="J40" i="2"/>
  <c r="J48" i="2"/>
  <c r="J56" i="2"/>
  <c r="A28" i="9"/>
  <c r="B27" i="9"/>
  <c r="C177" i="3"/>
  <c r="E177" i="3" s="1"/>
  <c r="A203" i="3"/>
  <c r="A256" i="3"/>
  <c r="C230" i="3"/>
  <c r="B261" i="3"/>
  <c r="B204" i="3"/>
  <c r="E178" i="3"/>
  <c r="V27" i="1"/>
  <c r="X27" i="1"/>
  <c r="L27" i="1"/>
  <c r="U27" i="1"/>
  <c r="I27" i="1"/>
  <c r="O27" i="1"/>
  <c r="K27" i="1"/>
  <c r="P27" i="1"/>
  <c r="F27" i="1"/>
  <c r="G27" i="1"/>
  <c r="R27" i="1"/>
  <c r="Y27" i="1"/>
  <c r="S27" i="1"/>
  <c r="M27" i="1"/>
  <c r="D27" i="1"/>
  <c r="W27" i="1"/>
  <c r="T27" i="1"/>
  <c r="Q27" i="1"/>
  <c r="N27" i="1"/>
  <c r="A131" i="3" l="1"/>
  <c r="C105" i="3"/>
  <c r="E105" i="3" s="1"/>
  <c r="A156" i="3"/>
  <c r="C130" i="3"/>
  <c r="E130" i="3" s="1"/>
  <c r="A180" i="3"/>
  <c r="C154" i="3"/>
  <c r="E154" i="3" s="1"/>
  <c r="A81" i="3"/>
  <c r="C55" i="3"/>
  <c r="E55" i="3" s="1"/>
  <c r="B32" i="3"/>
  <c r="B57" i="3"/>
  <c r="B83" i="3" s="1"/>
  <c r="B109" i="3" s="1"/>
  <c r="B135" i="3" s="1"/>
  <c r="B161" i="3" s="1"/>
  <c r="A31" i="3"/>
  <c r="A56" i="3"/>
  <c r="C30" i="3"/>
  <c r="E30" i="3" s="1"/>
  <c r="A106" i="3"/>
  <c r="C80" i="3"/>
  <c r="E80" i="3" s="1"/>
  <c r="AH27" i="1"/>
  <c r="J27" i="1"/>
  <c r="AE27" i="1"/>
  <c r="AF27" i="1" s="1"/>
  <c r="BJ26" i="1" s="1"/>
  <c r="C27" i="1"/>
  <c r="AV26" i="1"/>
  <c r="AV24" i="1" s="1"/>
  <c r="AV22" i="1" s="1"/>
  <c r="AL26" i="1"/>
  <c r="AN26" i="1"/>
  <c r="BB26" i="1"/>
  <c r="B258" i="3"/>
  <c r="A233" i="3"/>
  <c r="C207" i="3"/>
  <c r="B231" i="3"/>
  <c r="B290" i="3"/>
  <c r="AJ26" i="1"/>
  <c r="AM26" i="1" s="1"/>
  <c r="AD26" i="1"/>
  <c r="B208" i="3"/>
  <c r="AC30" i="8"/>
  <c r="A31" i="8"/>
  <c r="B187" i="3"/>
  <c r="B28" i="9"/>
  <c r="A29" i="9"/>
  <c r="AC27" i="1"/>
  <c r="H27" i="1"/>
  <c r="AG27" i="1" s="1"/>
  <c r="AK27" i="1" s="1"/>
  <c r="B233" i="3"/>
  <c r="E207" i="3"/>
  <c r="C27" i="9"/>
  <c r="A231" i="3"/>
  <c r="C205" i="3"/>
  <c r="E205" i="3" s="1"/>
  <c r="K24" i="2"/>
  <c r="K32" i="2"/>
  <c r="K40" i="2"/>
  <c r="K48" i="2"/>
  <c r="K56" i="2"/>
  <c r="B210" i="3"/>
  <c r="C256" i="3"/>
  <c r="A282" i="3"/>
  <c r="C282" i="3" s="1"/>
  <c r="E204" i="3"/>
  <c r="B230" i="3"/>
  <c r="B287" i="3"/>
  <c r="A229" i="3"/>
  <c r="C203" i="3"/>
  <c r="E203" i="3" s="1"/>
  <c r="B229" i="3"/>
  <c r="AB28" i="1"/>
  <c r="E28" i="1"/>
  <c r="P32" i="4"/>
  <c r="O71" i="4"/>
  <c r="L21" i="2"/>
  <c r="M20" i="2"/>
  <c r="B237" i="3"/>
  <c r="N28" i="1"/>
  <c r="Q28" i="1"/>
  <c r="R28" i="1"/>
  <c r="P28" i="1"/>
  <c r="X28" i="1"/>
  <c r="L28" i="1"/>
  <c r="T28" i="1"/>
  <c r="V28" i="1"/>
  <c r="F28" i="1"/>
  <c r="M28" i="1"/>
  <c r="D28" i="1"/>
  <c r="I28" i="1"/>
  <c r="K28" i="1"/>
  <c r="S28" i="1"/>
  <c r="O28" i="1"/>
  <c r="G28" i="1"/>
  <c r="U28" i="1"/>
  <c r="W28" i="1"/>
  <c r="Y28" i="1"/>
  <c r="C56" i="3" l="1"/>
  <c r="E56" i="3" s="1"/>
  <c r="A82" i="3"/>
  <c r="C28" i="9"/>
  <c r="C29" i="9" s="1"/>
  <c r="A32" i="3"/>
  <c r="A57" i="3"/>
  <c r="C31" i="3"/>
  <c r="E31" i="3" s="1"/>
  <c r="A107" i="3"/>
  <c r="C81" i="3"/>
  <c r="E81" i="3" s="1"/>
  <c r="C156" i="3"/>
  <c r="E156" i="3" s="1"/>
  <c r="A182" i="3"/>
  <c r="A132" i="3"/>
  <c r="C106" i="3"/>
  <c r="E106" i="3" s="1"/>
  <c r="B33" i="3"/>
  <c r="B58" i="3"/>
  <c r="B84" i="3" s="1"/>
  <c r="B110" i="3" s="1"/>
  <c r="B136" i="3" s="1"/>
  <c r="B162" i="3" s="1"/>
  <c r="C180" i="3"/>
  <c r="E180" i="3" s="1"/>
  <c r="A206" i="3"/>
  <c r="A157" i="3"/>
  <c r="C131" i="3"/>
  <c r="E131" i="3" s="1"/>
  <c r="C28" i="1"/>
  <c r="AE28" i="1"/>
  <c r="AF28" i="1" s="1"/>
  <c r="BK26" i="1" s="1"/>
  <c r="AH28" i="1"/>
  <c r="J28" i="1"/>
  <c r="BJ24" i="1"/>
  <c r="BJ29" i="1"/>
  <c r="AL27" i="1"/>
  <c r="AW26" i="1"/>
  <c r="AN27" i="1"/>
  <c r="BC26" i="1"/>
  <c r="BC24" i="1" s="1"/>
  <c r="M21" i="2"/>
  <c r="N20" i="2"/>
  <c r="BB24" i="1"/>
  <c r="BB22" i="1" s="1"/>
  <c r="B255" i="3"/>
  <c r="C229" i="3"/>
  <c r="E229" i="3" s="1"/>
  <c r="A255" i="3"/>
  <c r="B236" i="3"/>
  <c r="B259" i="3"/>
  <c r="A32" i="8"/>
  <c r="AC31" i="8"/>
  <c r="B284" i="3"/>
  <c r="AC28" i="1"/>
  <c r="H28" i="1"/>
  <c r="AG28" i="1" s="1"/>
  <c r="AK28" i="1" s="1"/>
  <c r="L24" i="2"/>
  <c r="L32" i="2"/>
  <c r="L40" i="2"/>
  <c r="L48" i="2"/>
  <c r="L56" i="2"/>
  <c r="E29" i="1"/>
  <c r="AB29" i="1"/>
  <c r="E230" i="3"/>
  <c r="B256" i="3"/>
  <c r="B29" i="9"/>
  <c r="A30" i="9"/>
  <c r="B263" i="3"/>
  <c r="Q32" i="4"/>
  <c r="Q71" i="4" s="1"/>
  <c r="P71" i="4"/>
  <c r="A257" i="3"/>
  <c r="C231" i="3"/>
  <c r="E231" i="3" s="1"/>
  <c r="B234" i="3"/>
  <c r="AD27" i="1"/>
  <c r="AJ27" i="1"/>
  <c r="AM27" i="1" s="1"/>
  <c r="B213" i="3"/>
  <c r="B257" i="3"/>
  <c r="A259" i="3"/>
  <c r="C233" i="3"/>
  <c r="E233" i="3" s="1"/>
  <c r="B188" i="3"/>
  <c r="T29" i="1"/>
  <c r="U29" i="1"/>
  <c r="G29" i="1"/>
  <c r="D29" i="1"/>
  <c r="V29" i="1"/>
  <c r="F29" i="1"/>
  <c r="I29" i="1"/>
  <c r="P29" i="1"/>
  <c r="X29" i="1"/>
  <c r="Y29" i="1"/>
  <c r="M29" i="1"/>
  <c r="R29" i="1"/>
  <c r="W29" i="1"/>
  <c r="K29" i="1"/>
  <c r="N29" i="1"/>
  <c r="O29" i="1"/>
  <c r="L29" i="1"/>
  <c r="S29" i="1"/>
  <c r="Q29" i="1"/>
  <c r="BC22" i="1" l="1"/>
  <c r="A232" i="3"/>
  <c r="C206" i="3"/>
  <c r="E206" i="3" s="1"/>
  <c r="C32" i="3"/>
  <c r="E32" i="3" s="1"/>
  <c r="A33" i="3"/>
  <c r="A58" i="3"/>
  <c r="A158" i="3"/>
  <c r="C132" i="3"/>
  <c r="E132" i="3" s="1"/>
  <c r="C107" i="3"/>
  <c r="E107" i="3" s="1"/>
  <c r="A133" i="3"/>
  <c r="A208" i="3"/>
  <c r="C182" i="3"/>
  <c r="E182" i="3" s="1"/>
  <c r="A108" i="3"/>
  <c r="C82" i="3"/>
  <c r="E82" i="3" s="1"/>
  <c r="A183" i="3"/>
  <c r="C157" i="3"/>
  <c r="E157" i="3" s="1"/>
  <c r="B34" i="3"/>
  <c r="B59" i="3"/>
  <c r="B85" i="3" s="1"/>
  <c r="B111" i="3" s="1"/>
  <c r="B137" i="3" s="1"/>
  <c r="B163" i="3" s="1"/>
  <c r="C57" i="3"/>
  <c r="E57" i="3" s="1"/>
  <c r="A83" i="3"/>
  <c r="AE29" i="1"/>
  <c r="AF29" i="1" s="1"/>
  <c r="BL26" i="1" s="1"/>
  <c r="C29" i="1"/>
  <c r="AH29" i="1"/>
  <c r="J29" i="1"/>
  <c r="AW24" i="1"/>
  <c r="AW22" i="1" s="1"/>
  <c r="AW29" i="1"/>
  <c r="AL28" i="1"/>
  <c r="AX26" i="1"/>
  <c r="BK24" i="1"/>
  <c r="BK29" i="1"/>
  <c r="BC29" i="1"/>
  <c r="AN28" i="1"/>
  <c r="BD26" i="1"/>
  <c r="B283" i="3"/>
  <c r="A31" i="9"/>
  <c r="B30" i="9"/>
  <c r="B214" i="3"/>
  <c r="A285" i="3"/>
  <c r="C285" i="3" s="1"/>
  <c r="C259" i="3"/>
  <c r="E259" i="3" s="1"/>
  <c r="B282" i="3"/>
  <c r="E282" i="3" s="1"/>
  <c r="E256" i="3"/>
  <c r="E30" i="1"/>
  <c r="AB30" i="1"/>
  <c r="B260" i="3"/>
  <c r="B285" i="3"/>
  <c r="A281" i="3"/>
  <c r="C281" i="3" s="1"/>
  <c r="C255" i="3"/>
  <c r="E255" i="3" s="1"/>
  <c r="B281" i="3"/>
  <c r="B239" i="3"/>
  <c r="A33" i="8"/>
  <c r="AC32" i="8"/>
  <c r="N21" i="2"/>
  <c r="O20" i="2"/>
  <c r="C30" i="9"/>
  <c r="B289" i="3"/>
  <c r="C257" i="3"/>
  <c r="E257" i="3" s="1"/>
  <c r="A283" i="3"/>
  <c r="C283" i="3" s="1"/>
  <c r="AC29" i="1"/>
  <c r="H29" i="1"/>
  <c r="AG29" i="1" s="1"/>
  <c r="AK29" i="1" s="1"/>
  <c r="AD28" i="1"/>
  <c r="AJ28" i="1"/>
  <c r="AM28" i="1" s="1"/>
  <c r="B262" i="3"/>
  <c r="B189" i="3"/>
  <c r="M40" i="2"/>
  <c r="M32" i="2"/>
  <c r="M24" i="2"/>
  <c r="M48" i="2"/>
  <c r="M56" i="2"/>
  <c r="V30" i="1"/>
  <c r="P30" i="1"/>
  <c r="Q30" i="1"/>
  <c r="D30" i="1"/>
  <c r="X30" i="1"/>
  <c r="F30" i="1"/>
  <c r="G30" i="1"/>
  <c r="L30" i="1"/>
  <c r="R30" i="1"/>
  <c r="Y30" i="1"/>
  <c r="K30" i="1"/>
  <c r="N30" i="1"/>
  <c r="S30" i="1"/>
  <c r="M30" i="1"/>
  <c r="O30" i="1"/>
  <c r="T30" i="1"/>
  <c r="I30" i="1"/>
  <c r="U30" i="1"/>
  <c r="W30" i="1"/>
  <c r="C83" i="3" l="1"/>
  <c r="E83" i="3" s="1"/>
  <c r="A109" i="3"/>
  <c r="A134" i="3"/>
  <c r="C108" i="3"/>
  <c r="E108" i="3" s="1"/>
  <c r="A34" i="3"/>
  <c r="A59" i="3"/>
  <c r="C33" i="3"/>
  <c r="E33" i="3" s="1"/>
  <c r="A209" i="3"/>
  <c r="C183" i="3"/>
  <c r="E183" i="3" s="1"/>
  <c r="A234" i="3"/>
  <c r="C208" i="3"/>
  <c r="E208" i="3" s="1"/>
  <c r="A184" i="3"/>
  <c r="C158" i="3"/>
  <c r="E158" i="3" s="1"/>
  <c r="B35" i="3"/>
  <c r="B60" i="3"/>
  <c r="B86" i="3" s="1"/>
  <c r="B112" i="3" s="1"/>
  <c r="B138" i="3" s="1"/>
  <c r="B164" i="3" s="1"/>
  <c r="A159" i="3"/>
  <c r="C133" i="3"/>
  <c r="E133" i="3" s="1"/>
  <c r="A84" i="3"/>
  <c r="C58" i="3"/>
  <c r="E58" i="3" s="1"/>
  <c r="A258" i="3"/>
  <c r="C232" i="3"/>
  <c r="E232" i="3" s="1"/>
  <c r="J30" i="1"/>
  <c r="AE30" i="1"/>
  <c r="AF30" i="1" s="1"/>
  <c r="BM26" i="1" s="1"/>
  <c r="C30" i="1"/>
  <c r="AH30" i="1"/>
  <c r="AL29" i="1"/>
  <c r="AY26" i="1"/>
  <c r="AX24" i="1"/>
  <c r="AX22" i="1" s="1"/>
  <c r="AX29" i="1"/>
  <c r="BL29" i="1"/>
  <c r="BL24" i="1"/>
  <c r="BD24" i="1"/>
  <c r="BD22" i="1" s="1"/>
  <c r="BD29" i="1"/>
  <c r="AN29" i="1"/>
  <c r="BE26" i="1"/>
  <c r="B286" i="3"/>
  <c r="AB31" i="1"/>
  <c r="E31" i="1"/>
  <c r="B190" i="3"/>
  <c r="A32" i="9"/>
  <c r="B31" i="9"/>
  <c r="C31" i="9" s="1"/>
  <c r="B288" i="3"/>
  <c r="B215" i="3"/>
  <c r="P20" i="2"/>
  <c r="O21" i="2"/>
  <c r="E285" i="3"/>
  <c r="E283" i="3"/>
  <c r="AJ29" i="1"/>
  <c r="AM29" i="1" s="1"/>
  <c r="AD29" i="1"/>
  <c r="N40" i="2"/>
  <c r="N24" i="2"/>
  <c r="N32" i="2"/>
  <c r="N48" i="2"/>
  <c r="N56" i="2"/>
  <c r="AC33" i="8"/>
  <c r="A34" i="8"/>
  <c r="E281" i="3"/>
  <c r="B240" i="3"/>
  <c r="B265" i="3"/>
  <c r="AC30" i="1"/>
  <c r="H30" i="1"/>
  <c r="AG30" i="1" s="1"/>
  <c r="AK30" i="1" s="1"/>
  <c r="I31" i="1"/>
  <c r="T31" i="1"/>
  <c r="Q31" i="1"/>
  <c r="F31" i="1"/>
  <c r="R31" i="1"/>
  <c r="K31" i="1"/>
  <c r="Y31" i="1"/>
  <c r="S31" i="1"/>
  <c r="M31" i="1"/>
  <c r="V31" i="1"/>
  <c r="L31" i="1"/>
  <c r="O31" i="1"/>
  <c r="W31" i="1"/>
  <c r="N31" i="1"/>
  <c r="P31" i="1"/>
  <c r="G31" i="1"/>
  <c r="U31" i="1"/>
  <c r="D31" i="1"/>
  <c r="X31" i="1"/>
  <c r="C258" i="3" l="1"/>
  <c r="E258" i="3" s="1"/>
  <c r="A284" i="3"/>
  <c r="C284" i="3" s="1"/>
  <c r="E284" i="3" s="1"/>
  <c r="A185" i="3"/>
  <c r="C159" i="3"/>
  <c r="E159" i="3" s="1"/>
  <c r="A210" i="3"/>
  <c r="C184" i="3"/>
  <c r="E184" i="3" s="1"/>
  <c r="C209" i="3"/>
  <c r="E209" i="3" s="1"/>
  <c r="A235" i="3"/>
  <c r="A160" i="3"/>
  <c r="C134" i="3"/>
  <c r="E134" i="3" s="1"/>
  <c r="A110" i="3"/>
  <c r="C84" i="3"/>
  <c r="E84" i="3" s="1"/>
  <c r="B61" i="3"/>
  <c r="B87" i="3" s="1"/>
  <c r="B113" i="3" s="1"/>
  <c r="B139" i="3" s="1"/>
  <c r="B165" i="3" s="1"/>
  <c r="B36" i="3"/>
  <c r="C234" i="3"/>
  <c r="E234" i="3" s="1"/>
  <c r="A260" i="3"/>
  <c r="C59" i="3"/>
  <c r="E59" i="3" s="1"/>
  <c r="A85" i="3"/>
  <c r="A135" i="3"/>
  <c r="C109" i="3"/>
  <c r="E109" i="3" s="1"/>
  <c r="C34" i="3"/>
  <c r="E34" i="3" s="1"/>
  <c r="A35" i="3"/>
  <c r="A60" i="3"/>
  <c r="J31" i="1"/>
  <c r="AH31" i="1"/>
  <c r="AL31" i="1" s="1"/>
  <c r="AE31" i="1"/>
  <c r="AF31" i="1" s="1"/>
  <c r="C31" i="1"/>
  <c r="AL30" i="1"/>
  <c r="AZ26" i="1"/>
  <c r="AY29" i="1"/>
  <c r="AY24" i="1"/>
  <c r="AY22" i="1" s="1"/>
  <c r="BM24" i="1"/>
  <c r="BM29" i="1"/>
  <c r="BE24" i="1"/>
  <c r="BE22" i="1" s="1"/>
  <c r="BE29" i="1"/>
  <c r="AN30" i="1"/>
  <c r="BF26" i="1"/>
  <c r="B191" i="3"/>
  <c r="B241" i="3"/>
  <c r="B291" i="3"/>
  <c r="AJ30" i="1"/>
  <c r="AM30" i="1" s="1"/>
  <c r="AD30" i="1"/>
  <c r="B216" i="3"/>
  <c r="B266" i="3"/>
  <c r="AC34" i="8"/>
  <c r="A35" i="8"/>
  <c r="O24" i="2"/>
  <c r="O32" i="2"/>
  <c r="O40" i="2"/>
  <c r="O48" i="2"/>
  <c r="O56" i="2"/>
  <c r="AC31" i="1"/>
  <c r="H31" i="1"/>
  <c r="AG31" i="1" s="1"/>
  <c r="AK31" i="1" s="1"/>
  <c r="AN31" i="1" s="1"/>
  <c r="P21" i="2"/>
  <c r="Q20" i="2"/>
  <c r="B32" i="9"/>
  <c r="A33" i="9"/>
  <c r="AB32" i="1"/>
  <c r="E32" i="1"/>
  <c r="C32" i="9"/>
  <c r="U32" i="1"/>
  <c r="R32" i="1"/>
  <c r="Y32" i="1"/>
  <c r="W32" i="1"/>
  <c r="N32" i="1"/>
  <c r="G32" i="1"/>
  <c r="D32" i="1"/>
  <c r="O32" i="1"/>
  <c r="V32" i="1"/>
  <c r="S32" i="1"/>
  <c r="T32" i="1"/>
  <c r="Q32" i="1"/>
  <c r="K32" i="1"/>
  <c r="X32" i="1"/>
  <c r="F32" i="1"/>
  <c r="P32" i="1"/>
  <c r="I32" i="1"/>
  <c r="L32" i="1"/>
  <c r="M32" i="1"/>
  <c r="A86" i="3" l="1"/>
  <c r="C60" i="3"/>
  <c r="E60" i="3" s="1"/>
  <c r="A161" i="3"/>
  <c r="C135" i="3"/>
  <c r="E135" i="3" s="1"/>
  <c r="A136" i="3"/>
  <c r="C110" i="3"/>
  <c r="E110" i="3" s="1"/>
  <c r="A261" i="3"/>
  <c r="C235" i="3"/>
  <c r="E235" i="3" s="1"/>
  <c r="A36" i="3"/>
  <c r="A61" i="3"/>
  <c r="C35" i="3"/>
  <c r="E35" i="3" s="1"/>
  <c r="C85" i="3"/>
  <c r="E85" i="3" s="1"/>
  <c r="A111" i="3"/>
  <c r="B37" i="3"/>
  <c r="B62" i="3"/>
  <c r="B88" i="3" s="1"/>
  <c r="B114" i="3" s="1"/>
  <c r="B140" i="3" s="1"/>
  <c r="B166" i="3" s="1"/>
  <c r="C185" i="3"/>
  <c r="E185" i="3" s="1"/>
  <c r="A211" i="3"/>
  <c r="A286" i="3"/>
  <c r="C286" i="3" s="1"/>
  <c r="E286" i="3" s="1"/>
  <c r="C260" i="3"/>
  <c r="E260" i="3" s="1"/>
  <c r="C160" i="3"/>
  <c r="E160" i="3" s="1"/>
  <c r="A186" i="3"/>
  <c r="A236" i="3"/>
  <c r="C210" i="3"/>
  <c r="E210" i="3" s="1"/>
  <c r="AH32" i="1"/>
  <c r="AL32" i="1" s="1"/>
  <c r="J32" i="1"/>
  <c r="C32" i="1"/>
  <c r="AE32" i="1"/>
  <c r="AF32" i="1" s="1"/>
  <c r="AZ29" i="1"/>
  <c r="AZ24" i="1"/>
  <c r="AZ22" i="1" s="1"/>
  <c r="BF24" i="1"/>
  <c r="BF22" i="1" s="1"/>
  <c r="BF29" i="1"/>
  <c r="B192" i="3"/>
  <c r="B267" i="3"/>
  <c r="B33" i="9"/>
  <c r="C33" i="9" s="1"/>
  <c r="A34" i="9"/>
  <c r="A36" i="8"/>
  <c r="AC35" i="8"/>
  <c r="B242" i="3"/>
  <c r="AC32" i="1"/>
  <c r="H32" i="1"/>
  <c r="AG32" i="1" s="1"/>
  <c r="AK32" i="1" s="1"/>
  <c r="AN32" i="1" s="1"/>
  <c r="R20" i="2"/>
  <c r="R21" i="2" s="1"/>
  <c r="Q21" i="2"/>
  <c r="P40" i="2"/>
  <c r="P32" i="2"/>
  <c r="P24" i="2"/>
  <c r="P48" i="2"/>
  <c r="P56" i="2"/>
  <c r="AD31" i="1"/>
  <c r="AJ31" i="1"/>
  <c r="AM31" i="1" s="1"/>
  <c r="B292" i="3"/>
  <c r="B217" i="3"/>
  <c r="C261" i="3" l="1"/>
  <c r="E261" i="3" s="1"/>
  <c r="A287" i="3"/>
  <c r="C287" i="3" s="1"/>
  <c r="E287" i="3" s="1"/>
  <c r="C161" i="3"/>
  <c r="E161" i="3" s="1"/>
  <c r="A187" i="3"/>
  <c r="A262" i="3"/>
  <c r="C236" i="3"/>
  <c r="E236" i="3" s="1"/>
  <c r="B38" i="3"/>
  <c r="B63" i="3"/>
  <c r="B89" i="3" s="1"/>
  <c r="B115" i="3" s="1"/>
  <c r="B141" i="3" s="1"/>
  <c r="B167" i="3" s="1"/>
  <c r="A87" i="3"/>
  <c r="C61" i="3"/>
  <c r="E61" i="3" s="1"/>
  <c r="A212" i="3"/>
  <c r="C186" i="3"/>
  <c r="E186" i="3" s="1"/>
  <c r="A237" i="3"/>
  <c r="C211" i="3"/>
  <c r="E211" i="3" s="1"/>
  <c r="A137" i="3"/>
  <c r="C111" i="3"/>
  <c r="E111" i="3" s="1"/>
  <c r="A37" i="3"/>
  <c r="C36" i="3"/>
  <c r="E36" i="3" s="1"/>
  <c r="A62" i="3"/>
  <c r="C136" i="3"/>
  <c r="E136" i="3" s="1"/>
  <c r="A162" i="3"/>
  <c r="C86" i="3"/>
  <c r="E86" i="3" s="1"/>
  <c r="A112" i="3"/>
  <c r="Q32" i="2"/>
  <c r="Q24" i="2"/>
  <c r="Q40" i="2"/>
  <c r="Q48" i="2"/>
  <c r="Q56" i="2"/>
  <c r="A35" i="9"/>
  <c r="B34" i="9"/>
  <c r="C34" i="9" s="1"/>
  <c r="B218" i="3"/>
  <c r="B243" i="3"/>
  <c r="B193" i="3"/>
  <c r="R24" i="2"/>
  <c r="R32" i="2"/>
  <c r="R40" i="2"/>
  <c r="R48" i="2"/>
  <c r="R56" i="2"/>
  <c r="AD32" i="1"/>
  <c r="AJ32" i="1"/>
  <c r="AM32" i="1" s="1"/>
  <c r="AP20" i="1" s="1" a="1"/>
  <c r="B268" i="3"/>
  <c r="A37" i="8"/>
  <c r="AC36" i="8"/>
  <c r="B293" i="3"/>
  <c r="C187" i="3" l="1"/>
  <c r="E187" i="3" s="1"/>
  <c r="A213" i="3"/>
  <c r="A138" i="3"/>
  <c r="C112" i="3"/>
  <c r="E112" i="3" s="1"/>
  <c r="A88" i="3"/>
  <c r="C62" i="3"/>
  <c r="E62" i="3" s="1"/>
  <c r="A163" i="3"/>
  <c r="C137" i="3"/>
  <c r="E137" i="3" s="1"/>
  <c r="A238" i="3"/>
  <c r="C212" i="3"/>
  <c r="E212" i="3" s="1"/>
  <c r="B39" i="3"/>
  <c r="B64" i="3"/>
  <c r="B90" i="3" s="1"/>
  <c r="B116" i="3" s="1"/>
  <c r="B142" i="3" s="1"/>
  <c r="B168" i="3" s="1"/>
  <c r="C162" i="3"/>
  <c r="E162" i="3" s="1"/>
  <c r="A188" i="3"/>
  <c r="A38" i="3"/>
  <c r="A63" i="3"/>
  <c r="C37" i="3"/>
  <c r="E37" i="3" s="1"/>
  <c r="C237" i="3"/>
  <c r="E237" i="3" s="1"/>
  <c r="A263" i="3"/>
  <c r="A113" i="3"/>
  <c r="C87" i="3"/>
  <c r="E87" i="3" s="1"/>
  <c r="A288" i="3"/>
  <c r="C288" i="3" s="1"/>
  <c r="E288" i="3" s="1"/>
  <c r="C262" i="3"/>
  <c r="E262" i="3" s="1"/>
  <c r="B194" i="3"/>
  <c r="B219" i="3"/>
  <c r="A36" i="9"/>
  <c r="B35" i="9"/>
  <c r="C35" i="9" s="1"/>
  <c r="AP20" i="1"/>
  <c r="AT20" i="1"/>
  <c r="AS21" i="1"/>
  <c r="AR22" i="1"/>
  <c r="AQ23" i="1"/>
  <c r="AP24" i="1"/>
  <c r="AT24" i="1"/>
  <c r="AS25" i="1"/>
  <c r="AR26" i="1"/>
  <c r="AQ27" i="1"/>
  <c r="AP28" i="1"/>
  <c r="AT28" i="1"/>
  <c r="AQ20" i="1"/>
  <c r="AP21" i="1"/>
  <c r="AT21" i="1"/>
  <c r="AS22" i="1"/>
  <c r="AR23" i="1"/>
  <c r="AQ24" i="1"/>
  <c r="AP25" i="1"/>
  <c r="AT25" i="1"/>
  <c r="AS26" i="1"/>
  <c r="AR27" i="1"/>
  <c r="AQ28" i="1"/>
  <c r="AR20" i="1"/>
  <c r="AQ21" i="1"/>
  <c r="AP22" i="1"/>
  <c r="AT22" i="1"/>
  <c r="AS23" i="1"/>
  <c r="AR24" i="1"/>
  <c r="AQ25" i="1"/>
  <c r="AP26" i="1"/>
  <c r="AT26" i="1"/>
  <c r="AS27" i="1"/>
  <c r="AR28" i="1"/>
  <c r="AR21" i="1"/>
  <c r="AS24" i="1"/>
  <c r="AT27" i="1"/>
  <c r="AQ22" i="1"/>
  <c r="AR25" i="1"/>
  <c r="AS28" i="1"/>
  <c r="AP23" i="1"/>
  <c r="AQ26" i="1"/>
  <c r="AS20" i="1"/>
  <c r="AT23" i="1"/>
  <c r="AP27" i="1"/>
  <c r="AC37" i="8"/>
  <c r="A38" i="8"/>
  <c r="B269" i="3"/>
  <c r="B294" i="3"/>
  <c r="B244" i="3"/>
  <c r="A139" i="3" l="1"/>
  <c r="C113" i="3"/>
  <c r="E113" i="3" s="1"/>
  <c r="C63" i="3"/>
  <c r="E63" i="3" s="1"/>
  <c r="A89" i="3"/>
  <c r="C263" i="3"/>
  <c r="E263" i="3" s="1"/>
  <c r="A289" i="3"/>
  <c r="C289" i="3" s="1"/>
  <c r="E289" i="3" s="1"/>
  <c r="A64" i="3"/>
  <c r="C38" i="3"/>
  <c r="E38" i="3" s="1"/>
  <c r="A39" i="3"/>
  <c r="B40" i="3"/>
  <c r="B65" i="3"/>
  <c r="B91" i="3" s="1"/>
  <c r="B117" i="3" s="1"/>
  <c r="B143" i="3" s="1"/>
  <c r="B169" i="3" s="1"/>
  <c r="A189" i="3"/>
  <c r="C163" i="3"/>
  <c r="E163" i="3" s="1"/>
  <c r="A164" i="3"/>
  <c r="C138" i="3"/>
  <c r="E138" i="3" s="1"/>
  <c r="C188" i="3"/>
  <c r="E188" i="3" s="1"/>
  <c r="A214" i="3"/>
  <c r="A239" i="3"/>
  <c r="C213" i="3"/>
  <c r="E213" i="3" s="1"/>
  <c r="A264" i="3"/>
  <c r="C238" i="3"/>
  <c r="E238" i="3" s="1"/>
  <c r="C88" i="3"/>
  <c r="E88" i="3" s="1"/>
  <c r="A114" i="3"/>
  <c r="B270" i="3"/>
  <c r="B36" i="9"/>
  <c r="C36" i="9" s="1"/>
  <c r="A37" i="9"/>
  <c r="B195" i="3"/>
  <c r="B295" i="3"/>
  <c r="AC38" i="8"/>
  <c r="A39" i="8"/>
  <c r="B245" i="3"/>
  <c r="B220" i="3"/>
  <c r="A290" i="3" l="1"/>
  <c r="C290" i="3" s="1"/>
  <c r="E290" i="3" s="1"/>
  <c r="C264" i="3"/>
  <c r="E264" i="3" s="1"/>
  <c r="A215" i="3"/>
  <c r="C189" i="3"/>
  <c r="E189" i="3" s="1"/>
  <c r="A115" i="3"/>
  <c r="C89" i="3"/>
  <c r="E89" i="3" s="1"/>
  <c r="C114" i="3"/>
  <c r="E114" i="3" s="1"/>
  <c r="A140" i="3"/>
  <c r="C64" i="3"/>
  <c r="E64" i="3" s="1"/>
  <c r="A90" i="3"/>
  <c r="A265" i="3"/>
  <c r="C239" i="3"/>
  <c r="E239" i="3" s="1"/>
  <c r="C164" i="3"/>
  <c r="E164" i="3" s="1"/>
  <c r="A190" i="3"/>
  <c r="B41" i="3"/>
  <c r="B66" i="3"/>
  <c r="B92" i="3" s="1"/>
  <c r="B118" i="3" s="1"/>
  <c r="B144" i="3" s="1"/>
  <c r="B170" i="3" s="1"/>
  <c r="B196" i="3" s="1"/>
  <c r="C214" i="3"/>
  <c r="E214" i="3" s="1"/>
  <c r="A240" i="3"/>
  <c r="A65" i="3"/>
  <c r="A40" i="3"/>
  <c r="C39" i="3"/>
  <c r="E39" i="3" s="1"/>
  <c r="C139" i="3"/>
  <c r="E139" i="3" s="1"/>
  <c r="A165" i="3"/>
  <c r="B271" i="3"/>
  <c r="B37" i="9"/>
  <c r="C37" i="9" s="1"/>
  <c r="A38" i="9"/>
  <c r="B246" i="3"/>
  <c r="A40" i="8"/>
  <c r="AC39" i="8"/>
  <c r="B296" i="3"/>
  <c r="B221" i="3"/>
  <c r="A41" i="3" l="1"/>
  <c r="A66" i="3"/>
  <c r="C40" i="3"/>
  <c r="E40" i="3" s="1"/>
  <c r="A166" i="3"/>
  <c r="C140" i="3"/>
  <c r="E140" i="3" s="1"/>
  <c r="A191" i="3"/>
  <c r="C165" i="3"/>
  <c r="E165" i="3" s="1"/>
  <c r="A91" i="3"/>
  <c r="C65" i="3"/>
  <c r="E65" i="3" s="1"/>
  <c r="B42" i="3"/>
  <c r="B67" i="3"/>
  <c r="B93" i="3" s="1"/>
  <c r="B119" i="3" s="1"/>
  <c r="B145" i="3" s="1"/>
  <c r="B171" i="3" s="1"/>
  <c r="C265" i="3"/>
  <c r="E265" i="3" s="1"/>
  <c r="A291" i="3"/>
  <c r="C291" i="3" s="1"/>
  <c r="E291" i="3" s="1"/>
  <c r="C215" i="3"/>
  <c r="E215" i="3" s="1"/>
  <c r="A241" i="3"/>
  <c r="C240" i="3"/>
  <c r="E240" i="3" s="1"/>
  <c r="A266" i="3"/>
  <c r="A216" i="3"/>
  <c r="C190" i="3"/>
  <c r="E190" i="3" s="1"/>
  <c r="A116" i="3"/>
  <c r="C90" i="3"/>
  <c r="E90" i="3" s="1"/>
  <c r="A141" i="3"/>
  <c r="C115" i="3"/>
  <c r="E115" i="3" s="1"/>
  <c r="B247" i="3"/>
  <c r="B222" i="3"/>
  <c r="A41" i="8"/>
  <c r="AC40" i="8"/>
  <c r="B272" i="3"/>
  <c r="B38" i="9"/>
  <c r="A39" i="9"/>
  <c r="B297" i="3"/>
  <c r="B197" i="3"/>
  <c r="C38" i="9"/>
  <c r="A142" i="3" l="1"/>
  <c r="C116" i="3"/>
  <c r="E116" i="3" s="1"/>
  <c r="A117" i="3"/>
  <c r="C91" i="3"/>
  <c r="E91" i="3" s="1"/>
  <c r="A192" i="3"/>
  <c r="C166" i="3"/>
  <c r="E166" i="3" s="1"/>
  <c r="A267" i="3"/>
  <c r="C241" i="3"/>
  <c r="E241" i="3" s="1"/>
  <c r="C141" i="3"/>
  <c r="E141" i="3" s="1"/>
  <c r="A167" i="3"/>
  <c r="A242" i="3"/>
  <c r="C216" i="3"/>
  <c r="E216" i="3" s="1"/>
  <c r="B43" i="3"/>
  <c r="B68" i="3"/>
  <c r="B94" i="3" s="1"/>
  <c r="B120" i="3" s="1"/>
  <c r="B146" i="3" s="1"/>
  <c r="B172" i="3" s="1"/>
  <c r="A217" i="3"/>
  <c r="C191" i="3"/>
  <c r="E191" i="3" s="1"/>
  <c r="A92" i="3"/>
  <c r="C66" i="3"/>
  <c r="E66" i="3" s="1"/>
  <c r="A292" i="3"/>
  <c r="C292" i="3" s="1"/>
  <c r="E292" i="3" s="1"/>
  <c r="C266" i="3"/>
  <c r="E266" i="3" s="1"/>
  <c r="A42" i="3"/>
  <c r="C41" i="3"/>
  <c r="E41" i="3" s="1"/>
  <c r="A67" i="3"/>
  <c r="B198" i="3"/>
  <c r="AC41" i="8"/>
  <c r="A42" i="8"/>
  <c r="B223" i="3"/>
  <c r="B298" i="3"/>
  <c r="B39" i="9"/>
  <c r="C39" i="9" s="1"/>
  <c r="A40" i="9"/>
  <c r="B248" i="3"/>
  <c r="B273" i="3"/>
  <c r="C67" i="3" l="1"/>
  <c r="E67" i="3" s="1"/>
  <c r="A93" i="3"/>
  <c r="C217" i="3"/>
  <c r="E217" i="3" s="1"/>
  <c r="A243" i="3"/>
  <c r="A268" i="3"/>
  <c r="C242" i="3"/>
  <c r="E242" i="3" s="1"/>
  <c r="A293" i="3"/>
  <c r="C293" i="3" s="1"/>
  <c r="E293" i="3" s="1"/>
  <c r="C267" i="3"/>
  <c r="E267" i="3" s="1"/>
  <c r="A143" i="3"/>
  <c r="C117" i="3"/>
  <c r="E117" i="3" s="1"/>
  <c r="A193" i="3"/>
  <c r="C167" i="3"/>
  <c r="E167" i="3" s="1"/>
  <c r="A43" i="3"/>
  <c r="A68" i="3"/>
  <c r="C42" i="3"/>
  <c r="E42" i="3" s="1"/>
  <c r="C92" i="3"/>
  <c r="E92" i="3" s="1"/>
  <c r="A118" i="3"/>
  <c r="B44" i="3"/>
  <c r="B69" i="3"/>
  <c r="B95" i="3" s="1"/>
  <c r="B121" i="3" s="1"/>
  <c r="B147" i="3" s="1"/>
  <c r="B173" i="3" s="1"/>
  <c r="C192" i="3"/>
  <c r="E192" i="3" s="1"/>
  <c r="A218" i="3"/>
  <c r="C142" i="3"/>
  <c r="E142" i="3" s="1"/>
  <c r="A168" i="3"/>
  <c r="B274" i="3"/>
  <c r="AC42" i="8"/>
  <c r="A43" i="8"/>
  <c r="A41" i="9"/>
  <c r="B40" i="9"/>
  <c r="C40" i="9" s="1"/>
  <c r="B299" i="3"/>
  <c r="B249" i="3"/>
  <c r="B224" i="3"/>
  <c r="B199" i="3"/>
  <c r="C243" i="3" l="1"/>
  <c r="E243" i="3" s="1"/>
  <c r="A269" i="3"/>
  <c r="C168" i="3"/>
  <c r="E168" i="3" s="1"/>
  <c r="A194" i="3"/>
  <c r="A219" i="3"/>
  <c r="C193" i="3"/>
  <c r="E193" i="3" s="1"/>
  <c r="B45" i="3"/>
  <c r="B70" i="3"/>
  <c r="B96" i="3" s="1"/>
  <c r="B122" i="3" s="1"/>
  <c r="B148" i="3" s="1"/>
  <c r="B174" i="3" s="1"/>
  <c r="C68" i="3"/>
  <c r="E68" i="3" s="1"/>
  <c r="A94" i="3"/>
  <c r="A119" i="3"/>
  <c r="C93" i="3"/>
  <c r="E93" i="3" s="1"/>
  <c r="C218" i="3"/>
  <c r="E218" i="3" s="1"/>
  <c r="A244" i="3"/>
  <c r="A144" i="3"/>
  <c r="C118" i="3"/>
  <c r="E118" i="3" s="1"/>
  <c r="A44" i="3"/>
  <c r="C43" i="3"/>
  <c r="E43" i="3" s="1"/>
  <c r="A69" i="3"/>
  <c r="C143" i="3"/>
  <c r="E143" i="3" s="1"/>
  <c r="A169" i="3"/>
  <c r="A294" i="3"/>
  <c r="C294" i="3" s="1"/>
  <c r="E294" i="3" s="1"/>
  <c r="C268" i="3"/>
  <c r="E268" i="3" s="1"/>
  <c r="C41" i="9"/>
  <c r="A42" i="9"/>
  <c r="B41" i="9"/>
  <c r="B300" i="3"/>
  <c r="B250" i="3"/>
  <c r="B275" i="3"/>
  <c r="B200" i="3"/>
  <c r="B225" i="3"/>
  <c r="A44" i="8"/>
  <c r="AC43" i="8"/>
  <c r="A220" i="3" l="1"/>
  <c r="C194" i="3"/>
  <c r="E194" i="3" s="1"/>
  <c r="A95" i="3"/>
  <c r="C69" i="3"/>
  <c r="E69" i="3" s="1"/>
  <c r="A170" i="3"/>
  <c r="C144" i="3"/>
  <c r="E144" i="3" s="1"/>
  <c r="C119" i="3"/>
  <c r="E119" i="3" s="1"/>
  <c r="A145" i="3"/>
  <c r="B71" i="3"/>
  <c r="B97" i="3" s="1"/>
  <c r="B123" i="3" s="1"/>
  <c r="B149" i="3" s="1"/>
  <c r="B175" i="3" s="1"/>
  <c r="B46" i="3"/>
  <c r="B72" i="3" s="1"/>
  <c r="B98" i="3" s="1"/>
  <c r="B124" i="3" s="1"/>
  <c r="B150" i="3" s="1"/>
  <c r="A270" i="3"/>
  <c r="C244" i="3"/>
  <c r="E244" i="3" s="1"/>
  <c r="A120" i="3"/>
  <c r="C94" i="3"/>
  <c r="E94" i="3" s="1"/>
  <c r="A295" i="3"/>
  <c r="C295" i="3" s="1"/>
  <c r="E295" i="3" s="1"/>
  <c r="C269" i="3"/>
  <c r="E269" i="3" s="1"/>
  <c r="C169" i="3"/>
  <c r="E169" i="3" s="1"/>
  <c r="A195" i="3"/>
  <c r="C44" i="3"/>
  <c r="E44" i="3" s="1"/>
  <c r="A70" i="3"/>
  <c r="A45" i="3"/>
  <c r="A245" i="3"/>
  <c r="C219" i="3"/>
  <c r="E219" i="3" s="1"/>
  <c r="A45" i="8"/>
  <c r="AC44" i="8"/>
  <c r="B251" i="3"/>
  <c r="B301" i="3"/>
  <c r="B42" i="9"/>
  <c r="A43" i="9"/>
  <c r="B201" i="3"/>
  <c r="B226" i="3"/>
  <c r="B176" i="3"/>
  <c r="B276" i="3"/>
  <c r="C42" i="9"/>
  <c r="C70" i="3" l="1"/>
  <c r="E70" i="3" s="1"/>
  <c r="A96" i="3"/>
  <c r="C145" i="3"/>
  <c r="E145" i="3" s="1"/>
  <c r="A171" i="3"/>
  <c r="C270" i="3"/>
  <c r="E270" i="3" s="1"/>
  <c r="A296" i="3"/>
  <c r="C296" i="3" s="1"/>
  <c r="E296" i="3" s="1"/>
  <c r="A121" i="3"/>
  <c r="C95" i="3"/>
  <c r="E95" i="3" s="1"/>
  <c r="A271" i="3"/>
  <c r="C245" i="3"/>
  <c r="E245" i="3" s="1"/>
  <c r="C195" i="3"/>
  <c r="E195" i="3" s="1"/>
  <c r="A221" i="3"/>
  <c r="A46" i="3"/>
  <c r="A71" i="3"/>
  <c r="C45" i="3"/>
  <c r="E45" i="3" s="1"/>
  <c r="C120" i="3"/>
  <c r="E120" i="3" s="1"/>
  <c r="A146" i="3"/>
  <c r="A196" i="3"/>
  <c r="C170" i="3"/>
  <c r="E170" i="3" s="1"/>
  <c r="C220" i="3"/>
  <c r="E220" i="3" s="1"/>
  <c r="A246" i="3"/>
  <c r="B302" i="3"/>
  <c r="B202" i="3"/>
  <c r="B252" i="3"/>
  <c r="B227" i="3"/>
  <c r="B277" i="3"/>
  <c r="B43" i="9"/>
  <c r="C43" i="9" s="1"/>
  <c r="A44" i="9"/>
  <c r="A46" i="8"/>
  <c r="AC45" i="8"/>
  <c r="A247" i="3" l="1"/>
  <c r="C221" i="3"/>
  <c r="E221" i="3" s="1"/>
  <c r="A197" i="3"/>
  <c r="C171" i="3"/>
  <c r="E171" i="3" s="1"/>
  <c r="A147" i="3"/>
  <c r="C121" i="3"/>
  <c r="E121" i="3" s="1"/>
  <c r="A222" i="3"/>
  <c r="C196" i="3"/>
  <c r="E196" i="3" s="1"/>
  <c r="C71" i="3"/>
  <c r="E71" i="3" s="1"/>
  <c r="A97" i="3"/>
  <c r="A122" i="3"/>
  <c r="C96" i="3"/>
  <c r="E96" i="3" s="1"/>
  <c r="A272" i="3"/>
  <c r="C246" i="3"/>
  <c r="E246" i="3" s="1"/>
  <c r="A172" i="3"/>
  <c r="C146" i="3"/>
  <c r="E146" i="3" s="1"/>
  <c r="C46" i="3"/>
  <c r="E46" i="3" s="1"/>
  <c r="A72" i="3"/>
  <c r="A297" i="3"/>
  <c r="C297" i="3" s="1"/>
  <c r="E297" i="3" s="1"/>
  <c r="C271" i="3"/>
  <c r="E271" i="3" s="1"/>
  <c r="B303" i="3"/>
  <c r="B228" i="3"/>
  <c r="A47" i="8"/>
  <c r="AC46" i="8"/>
  <c r="B253" i="3"/>
  <c r="B278" i="3"/>
  <c r="A45" i="9"/>
  <c r="B44" i="9"/>
  <c r="C44" i="9" s="1"/>
  <c r="A198" i="3" l="1"/>
  <c r="C172" i="3"/>
  <c r="E172" i="3" s="1"/>
  <c r="C72" i="3"/>
  <c r="E72" i="3" s="1"/>
  <c r="A98" i="3"/>
  <c r="C122" i="3"/>
  <c r="E122" i="3" s="1"/>
  <c r="A148" i="3"/>
  <c r="C222" i="3"/>
  <c r="E222" i="3" s="1"/>
  <c r="A248" i="3"/>
  <c r="A223" i="3"/>
  <c r="C197" i="3"/>
  <c r="E197" i="3" s="1"/>
  <c r="C97" i="3"/>
  <c r="E97" i="3" s="1"/>
  <c r="A123" i="3"/>
  <c r="C272" i="3"/>
  <c r="E272" i="3" s="1"/>
  <c r="A298" i="3"/>
  <c r="C298" i="3" s="1"/>
  <c r="E298" i="3" s="1"/>
  <c r="A173" i="3"/>
  <c r="C147" i="3"/>
  <c r="E147" i="3" s="1"/>
  <c r="A273" i="3"/>
  <c r="C247" i="3"/>
  <c r="E247" i="3" s="1"/>
  <c r="A46" i="9"/>
  <c r="B45" i="9"/>
  <c r="B304" i="3"/>
  <c r="B254" i="3"/>
  <c r="C45" i="9"/>
  <c r="B279" i="3"/>
  <c r="A48" i="8"/>
  <c r="AC47" i="8"/>
  <c r="A249" i="3" l="1"/>
  <c r="C223" i="3"/>
  <c r="E223" i="3" s="1"/>
  <c r="A149" i="3"/>
  <c r="C123" i="3"/>
  <c r="E123" i="3" s="1"/>
  <c r="C248" i="3"/>
  <c r="E248" i="3" s="1"/>
  <c r="A274" i="3"/>
  <c r="C98" i="3"/>
  <c r="E98" i="3" s="1"/>
  <c r="A124" i="3"/>
  <c r="A199" i="3"/>
  <c r="C173" i="3"/>
  <c r="E173" i="3" s="1"/>
  <c r="C148" i="3"/>
  <c r="E148" i="3" s="1"/>
  <c r="A174" i="3"/>
  <c r="A299" i="3"/>
  <c r="C299" i="3" s="1"/>
  <c r="E299" i="3" s="1"/>
  <c r="C273" i="3"/>
  <c r="E273" i="3" s="1"/>
  <c r="A224" i="3"/>
  <c r="C198" i="3"/>
  <c r="E198" i="3" s="1"/>
  <c r="B46" i="9"/>
  <c r="A47" i="9"/>
  <c r="AC48" i="8"/>
  <c r="A49" i="8"/>
  <c r="B280" i="3"/>
  <c r="B305" i="3"/>
  <c r="C46" i="9"/>
  <c r="C174" i="3" l="1"/>
  <c r="E174" i="3" s="1"/>
  <c r="A200" i="3"/>
  <c r="A150" i="3"/>
  <c r="C124" i="3"/>
  <c r="E124" i="3" s="1"/>
  <c r="A250" i="3"/>
  <c r="C224" i="3"/>
  <c r="E224" i="3" s="1"/>
  <c r="A175" i="3"/>
  <c r="C149" i="3"/>
  <c r="E149" i="3" s="1"/>
  <c r="C274" i="3"/>
  <c r="E274" i="3" s="1"/>
  <c r="A300" i="3"/>
  <c r="C300" i="3" s="1"/>
  <c r="E300" i="3" s="1"/>
  <c r="C199" i="3"/>
  <c r="E199" i="3" s="1"/>
  <c r="A225" i="3"/>
  <c r="A275" i="3"/>
  <c r="C249" i="3"/>
  <c r="E249" i="3" s="1"/>
  <c r="B47" i="9"/>
  <c r="C47" i="9" s="1"/>
  <c r="A48" i="9"/>
  <c r="A50" i="8"/>
  <c r="AC49" i="8"/>
  <c r="B306" i="3"/>
  <c r="C225" i="3" l="1"/>
  <c r="E225" i="3" s="1"/>
  <c r="A251" i="3"/>
  <c r="C175" i="3"/>
  <c r="E175" i="3" s="1"/>
  <c r="A201" i="3"/>
  <c r="C150" i="3"/>
  <c r="E150" i="3" s="1"/>
  <c r="A176" i="3"/>
  <c r="C200" i="3"/>
  <c r="E200" i="3" s="1"/>
  <c r="A226" i="3"/>
  <c r="A301" i="3"/>
  <c r="C301" i="3" s="1"/>
  <c r="E301" i="3" s="1"/>
  <c r="C275" i="3"/>
  <c r="E275" i="3" s="1"/>
  <c r="A276" i="3"/>
  <c r="C250" i="3"/>
  <c r="E250" i="3" s="1"/>
  <c r="A51" i="8"/>
  <c r="AC50" i="8"/>
  <c r="A49" i="9"/>
  <c r="B48" i="9"/>
  <c r="C48" i="9" s="1"/>
  <c r="C226" i="3" l="1"/>
  <c r="E226" i="3" s="1"/>
  <c r="A252" i="3"/>
  <c r="A227" i="3"/>
  <c r="C201" i="3"/>
  <c r="E201" i="3" s="1"/>
  <c r="C276" i="3"/>
  <c r="E276" i="3" s="1"/>
  <c r="A302" i="3"/>
  <c r="C302" i="3" s="1"/>
  <c r="E302" i="3" s="1"/>
  <c r="A202" i="3"/>
  <c r="C176" i="3"/>
  <c r="E176" i="3" s="1"/>
  <c r="A277" i="3"/>
  <c r="C251" i="3"/>
  <c r="E251" i="3" s="1"/>
  <c r="A52" i="8"/>
  <c r="AC51" i="8"/>
  <c r="A50" i="9"/>
  <c r="B49" i="9"/>
  <c r="C49" i="9" s="1"/>
  <c r="A228" i="3" l="1"/>
  <c r="C202" i="3"/>
  <c r="E202" i="3" s="1"/>
  <c r="A253" i="3"/>
  <c r="C227" i="3"/>
  <c r="E227" i="3" s="1"/>
  <c r="A278" i="3"/>
  <c r="C252" i="3"/>
  <c r="E252" i="3" s="1"/>
  <c r="C277" i="3"/>
  <c r="E277" i="3" s="1"/>
  <c r="A303" i="3"/>
  <c r="C303" i="3" s="1"/>
  <c r="E303" i="3" s="1"/>
  <c r="B50" i="9"/>
  <c r="C50" i="9" s="1"/>
  <c r="A51" i="9"/>
  <c r="AC52" i="8"/>
  <c r="A53" i="8"/>
  <c r="A279" i="3" l="1"/>
  <c r="C253" i="3"/>
  <c r="E253" i="3" s="1"/>
  <c r="A304" i="3"/>
  <c r="C304" i="3" s="1"/>
  <c r="E304" i="3" s="1"/>
  <c r="C278" i="3"/>
  <c r="E278" i="3" s="1"/>
  <c r="A254" i="3"/>
  <c r="C228" i="3"/>
  <c r="E228" i="3" s="1"/>
  <c r="A54" i="8"/>
  <c r="AC53" i="8"/>
  <c r="B51" i="9"/>
  <c r="C51" i="9" s="1"/>
  <c r="A52" i="9"/>
  <c r="C254" i="3" l="1"/>
  <c r="E254" i="3" s="1"/>
  <c r="A280" i="3"/>
  <c r="A305" i="3"/>
  <c r="C305" i="3" s="1"/>
  <c r="E305" i="3" s="1"/>
  <c r="C279" i="3"/>
  <c r="E279" i="3" s="1"/>
  <c r="A53" i="9"/>
  <c r="B52" i="9"/>
  <c r="C52" i="9" s="1"/>
  <c r="A55" i="8"/>
  <c r="AC54" i="8"/>
  <c r="A306" i="3" l="1"/>
  <c r="C306" i="3" s="1"/>
  <c r="E306" i="3" s="1"/>
  <c r="C280" i="3"/>
  <c r="E280" i="3" s="1"/>
  <c r="A56" i="8"/>
  <c r="AC55" i="8"/>
  <c r="A54" i="9"/>
  <c r="B53" i="9"/>
  <c r="C53" i="9" s="1"/>
  <c r="C54" i="9" l="1"/>
  <c r="B54" i="9"/>
  <c r="A55" i="9"/>
  <c r="A57" i="8"/>
  <c r="AC56" i="8"/>
  <c r="B55" i="9" l="1"/>
  <c r="C55" i="9" s="1"/>
  <c r="A56" i="9"/>
  <c r="A58" i="8"/>
  <c r="AC57" i="8"/>
  <c r="A59" i="8" l="1"/>
  <c r="AC58" i="8"/>
  <c r="A57" i="9"/>
  <c r="B56" i="9"/>
  <c r="C56" i="9" s="1"/>
  <c r="A58" i="9" l="1"/>
  <c r="B57" i="9"/>
  <c r="C57" i="9" s="1"/>
  <c r="A60" i="8"/>
  <c r="AC59" i="8"/>
  <c r="B58" i="9" l="1"/>
  <c r="C58" i="9" s="1"/>
  <c r="A59" i="9"/>
  <c r="A61" i="8"/>
  <c r="AC60" i="8"/>
  <c r="A62" i="8" l="1"/>
  <c r="AC62" i="8" s="1"/>
  <c r="AC61" i="8"/>
  <c r="B59" i="9"/>
  <c r="C59" i="9" s="1"/>
  <c r="A60" i="9"/>
  <c r="A61" i="9" l="1"/>
  <c r="B60" i="9"/>
  <c r="C60" i="9" s="1"/>
  <c r="A62" i="9" l="1"/>
  <c r="B62" i="9" s="1"/>
  <c r="B61" i="9"/>
  <c r="C61" i="9" s="1"/>
  <c r="C62" i="9" l="1"/>
  <c r="Q62" i="9"/>
  <c r="H62" i="9" l="1"/>
  <c r="I62" i="9"/>
  <c r="W6" i="9" l="1"/>
  <c r="O62" i="9"/>
  <c r="K62" i="9"/>
  <c r="L62" i="9" s="1"/>
  <c r="M62" i="9" s="1"/>
  <c r="D61" i="9" s="1"/>
  <c r="E61" i="9" s="1"/>
  <c r="F61" i="9"/>
  <c r="G61" i="9"/>
  <c r="Q61" i="9"/>
  <c r="J61" i="9"/>
  <c r="H61" i="9" l="1"/>
  <c r="I61" i="9"/>
  <c r="K61" i="9" l="1"/>
  <c r="L61" i="9" s="1"/>
  <c r="M61" i="9" s="1"/>
  <c r="D60" i="9" s="1"/>
  <c r="E60" i="9" s="1"/>
  <c r="O61" i="9"/>
  <c r="G60" i="9"/>
  <c r="Q60" i="9"/>
  <c r="F60" i="9"/>
  <c r="J60" i="9"/>
  <c r="H60" i="9" l="1"/>
  <c r="I60" i="9"/>
  <c r="O60" i="9" l="1"/>
  <c r="K60" i="9"/>
  <c r="L60" i="9" s="1"/>
  <c r="M60" i="9" s="1"/>
  <c r="D59" i="9" s="1"/>
  <c r="E59" i="9" s="1"/>
  <c r="Q59" i="9"/>
  <c r="J59" i="9"/>
  <c r="F59" i="9"/>
  <c r="G59" i="9"/>
  <c r="H59" i="9" l="1"/>
  <c r="I59" i="9"/>
  <c r="K59" i="9" l="1"/>
  <c r="L59" i="9" s="1"/>
  <c r="M59" i="9" s="1"/>
  <c r="D58" i="9" s="1"/>
  <c r="E58" i="9" s="1"/>
  <c r="O59" i="9"/>
  <c r="J58" i="9"/>
  <c r="G58" i="9"/>
  <c r="Q58" i="9"/>
  <c r="F58" i="9"/>
  <c r="H58" i="9" l="1"/>
  <c r="I58" i="9"/>
  <c r="O58" i="9" l="1"/>
  <c r="K58" i="9"/>
  <c r="L58" i="9" s="1"/>
  <c r="M58" i="9" s="1"/>
  <c r="D57" i="9" s="1"/>
  <c r="E57" i="9" s="1"/>
  <c r="Q57" i="9"/>
  <c r="J57" i="9"/>
  <c r="F57" i="9"/>
  <c r="G57" i="9"/>
  <c r="H57" i="9" l="1"/>
  <c r="I57" i="9"/>
  <c r="O57" i="9" l="1"/>
  <c r="K57" i="9"/>
  <c r="L57" i="9" s="1"/>
  <c r="M57" i="9" s="1"/>
  <c r="D56" i="9" s="1"/>
  <c r="E56" i="9" s="1"/>
  <c r="Q56" i="9"/>
  <c r="J56" i="9"/>
  <c r="F56" i="9"/>
  <c r="G56" i="9"/>
  <c r="H56" i="9" l="1"/>
  <c r="I56" i="9"/>
  <c r="K56" i="9" l="1"/>
  <c r="L56" i="9" s="1"/>
  <c r="M56" i="9" s="1"/>
  <c r="D55" i="9" s="1"/>
  <c r="E55" i="9" s="1"/>
  <c r="O56" i="9"/>
  <c r="Q55" i="9"/>
  <c r="J55" i="9"/>
  <c r="F55" i="9"/>
  <c r="G55" i="9"/>
  <c r="H55" i="9" l="1"/>
  <c r="I55" i="9"/>
  <c r="O55" i="9" l="1"/>
  <c r="K55" i="9"/>
  <c r="L55" i="9" s="1"/>
  <c r="M55" i="9" s="1"/>
  <c r="D54" i="9" s="1"/>
  <c r="E54" i="9" s="1"/>
  <c r="F54" i="9"/>
  <c r="J54" i="9"/>
  <c r="G54" i="9"/>
  <c r="Q54" i="9"/>
  <c r="H54" i="9" l="1"/>
  <c r="I54" i="9"/>
  <c r="O54" i="9" l="1"/>
  <c r="K54" i="9"/>
  <c r="L54" i="9" s="1"/>
  <c r="M54" i="9" s="1"/>
  <c r="D53" i="9" s="1"/>
  <c r="E53" i="9" s="1"/>
  <c r="G53" i="9"/>
  <c r="F53" i="9"/>
  <c r="J53" i="9"/>
  <c r="Q53" i="9"/>
  <c r="H53" i="9" l="1"/>
  <c r="I53" i="9"/>
  <c r="K53" i="9" l="1"/>
  <c r="L53" i="9" s="1"/>
  <c r="M53" i="9" s="1"/>
  <c r="D52" i="9" s="1"/>
  <c r="E52" i="9" s="1"/>
  <c r="O53" i="9"/>
  <c r="J52" i="9"/>
  <c r="F52" i="9"/>
  <c r="Q52" i="9"/>
  <c r="G52" i="9"/>
  <c r="H52" i="9" l="1"/>
  <c r="I52" i="9"/>
  <c r="O52" i="9" l="1"/>
  <c r="K52" i="9"/>
  <c r="L52" i="9" s="1"/>
  <c r="M52" i="9" s="1"/>
  <c r="D51" i="9" s="1"/>
  <c r="E51" i="9" s="1"/>
  <c r="J51" i="9"/>
  <c r="F51" i="9"/>
  <c r="G51" i="9"/>
  <c r="Q51" i="9"/>
  <c r="H51" i="9" l="1"/>
  <c r="I51" i="9"/>
  <c r="O51" i="9" l="1"/>
  <c r="K51" i="9"/>
  <c r="L51" i="9" s="1"/>
  <c r="M51" i="9" s="1"/>
  <c r="D50" i="9" s="1"/>
  <c r="E50" i="9" s="1"/>
  <c r="Q50" i="9"/>
  <c r="J50" i="9"/>
  <c r="F50" i="9"/>
  <c r="G50" i="9"/>
  <c r="H50" i="9" l="1"/>
  <c r="I50" i="9"/>
  <c r="O50" i="9" l="1"/>
  <c r="K50" i="9"/>
  <c r="L50" i="9" s="1"/>
  <c r="M50" i="9" s="1"/>
  <c r="D49" i="9" s="1"/>
  <c r="E49" i="9" s="1"/>
  <c r="G49" i="9"/>
  <c r="J49" i="9"/>
  <c r="Q49" i="9"/>
  <c r="F49" i="9"/>
  <c r="H49" i="9" l="1"/>
  <c r="I49" i="9"/>
  <c r="K49" i="9" l="1"/>
  <c r="L49" i="9" s="1"/>
  <c r="M49" i="9" s="1"/>
  <c r="D48" i="9" s="1"/>
  <c r="E48" i="9" s="1"/>
  <c r="O49" i="9"/>
  <c r="Q48" i="9"/>
  <c r="J48" i="9"/>
  <c r="F48" i="9"/>
  <c r="G48" i="9"/>
  <c r="H48" i="9" l="1"/>
  <c r="I48" i="9"/>
  <c r="O48" i="9" l="1"/>
  <c r="K48" i="9"/>
  <c r="L48" i="9" s="1"/>
  <c r="M48" i="9" s="1"/>
  <c r="D47" i="9" s="1"/>
  <c r="E47" i="9" s="1"/>
  <c r="G47" i="9"/>
  <c r="Q47" i="9"/>
  <c r="F47" i="9"/>
  <c r="J47" i="9"/>
  <c r="H47" i="9" l="1"/>
  <c r="I47" i="9"/>
  <c r="O47" i="9" l="1"/>
  <c r="K47" i="9"/>
  <c r="L47" i="9" s="1"/>
  <c r="M47" i="9" s="1"/>
  <c r="D46" i="9" s="1"/>
  <c r="E46" i="9" s="1"/>
  <c r="F46" i="9"/>
  <c r="G46" i="9"/>
  <c r="J46" i="9"/>
  <c r="Q46" i="9"/>
  <c r="H46" i="9" l="1"/>
  <c r="I46" i="9"/>
  <c r="K46" i="9" l="1"/>
  <c r="L46" i="9" s="1"/>
  <c r="M46" i="9" s="1"/>
  <c r="D45" i="9" s="1"/>
  <c r="E45" i="9" s="1"/>
  <c r="O46" i="9"/>
  <c r="G45" i="9"/>
  <c r="Q45" i="9"/>
  <c r="J45" i="9"/>
  <c r="F45" i="9"/>
  <c r="H45" i="9" l="1"/>
  <c r="I45" i="9"/>
  <c r="O45" i="9" l="1"/>
  <c r="K45" i="9"/>
  <c r="L45" i="9" s="1"/>
  <c r="M45" i="9" s="1"/>
  <c r="D44" i="9" s="1"/>
  <c r="E44" i="9" s="1"/>
  <c r="J44" i="9"/>
  <c r="F44" i="9"/>
  <c r="G44" i="9"/>
  <c r="Q44" i="9"/>
  <c r="H44" i="9" l="1"/>
  <c r="I44" i="9"/>
  <c r="K44" i="9" l="1"/>
  <c r="L44" i="9" s="1"/>
  <c r="M44" i="9" s="1"/>
  <c r="D43" i="9" s="1"/>
  <c r="E43" i="9" s="1"/>
  <c r="O44" i="9"/>
  <c r="F43" i="9"/>
  <c r="J43" i="9"/>
  <c r="Q43" i="9"/>
  <c r="G43" i="9"/>
  <c r="H43" i="9" l="1"/>
  <c r="I43" i="9"/>
  <c r="K43" i="9" l="1"/>
  <c r="L43" i="9" s="1"/>
  <c r="M43" i="9" s="1"/>
  <c r="D42" i="9" s="1"/>
  <c r="E42" i="9" s="1"/>
  <c r="O43" i="9"/>
  <c r="J42" i="9"/>
  <c r="G42" i="9"/>
  <c r="Q42" i="9"/>
  <c r="F42" i="9"/>
  <c r="H42" i="9" l="1"/>
  <c r="I42" i="9"/>
  <c r="K42" i="9" l="1"/>
  <c r="L42" i="9" s="1"/>
  <c r="M42" i="9" s="1"/>
  <c r="D41" i="9" s="1"/>
  <c r="E41" i="9" s="1"/>
  <c r="O42" i="9"/>
  <c r="J41" i="9"/>
  <c r="G41" i="9"/>
  <c r="F41" i="9"/>
  <c r="Q41" i="9"/>
  <c r="H41" i="9" l="1"/>
  <c r="I41" i="9"/>
  <c r="K41" i="9" l="1"/>
  <c r="L41" i="9" s="1"/>
  <c r="M41" i="9" s="1"/>
  <c r="D40" i="9" s="1"/>
  <c r="E40" i="9" s="1"/>
  <c r="O41" i="9"/>
  <c r="Q40" i="9"/>
  <c r="G40" i="9"/>
  <c r="F40" i="9"/>
  <c r="J40" i="9"/>
  <c r="H40" i="9" l="1"/>
  <c r="I40" i="9"/>
  <c r="K40" i="9" l="1"/>
  <c r="L40" i="9" s="1"/>
  <c r="M40" i="9" s="1"/>
  <c r="D39" i="9" s="1"/>
  <c r="E39" i="9" s="1"/>
  <c r="O40" i="9"/>
  <c r="Q39" i="9"/>
  <c r="G39" i="9"/>
  <c r="F39" i="9"/>
  <c r="J39" i="9"/>
  <c r="H39" i="9" l="1"/>
  <c r="I39" i="9"/>
  <c r="K39" i="9" l="1"/>
  <c r="L39" i="9" s="1"/>
  <c r="M39" i="9" s="1"/>
  <c r="D38" i="9" s="1"/>
  <c r="E38" i="9" s="1"/>
  <c r="O39" i="9"/>
  <c r="G38" i="9"/>
  <c r="Q38" i="9"/>
  <c r="J38" i="9"/>
  <c r="F38" i="9"/>
  <c r="H38" i="9" l="1"/>
  <c r="I38" i="9"/>
  <c r="K38" i="9" l="1"/>
  <c r="L38" i="9" s="1"/>
  <c r="M38" i="9" s="1"/>
  <c r="D37" i="9" s="1"/>
  <c r="E37" i="9" s="1"/>
  <c r="O38" i="9"/>
  <c r="Q37" i="9"/>
  <c r="F37" i="9"/>
  <c r="G37" i="9"/>
  <c r="J37" i="9"/>
  <c r="H37" i="9" l="1"/>
  <c r="I37" i="9"/>
  <c r="O37" i="9" l="1"/>
  <c r="K37" i="9"/>
  <c r="L37" i="9" s="1"/>
  <c r="M37" i="9" s="1"/>
  <c r="D36" i="9" s="1"/>
  <c r="E36" i="9" s="1"/>
  <c r="J36" i="9"/>
  <c r="Q36" i="9"/>
  <c r="G36" i="9"/>
  <c r="F36" i="9"/>
  <c r="H36" i="9" l="1"/>
  <c r="K36" i="9" l="1"/>
  <c r="L36" i="9" s="1"/>
  <c r="I36" i="9"/>
  <c r="O36" i="9" l="1"/>
  <c r="M36" i="9"/>
  <c r="D35" i="9" s="1"/>
  <c r="E35" i="9" l="1"/>
  <c r="G35" i="9"/>
  <c r="J35" i="9"/>
  <c r="Q35" i="9"/>
  <c r="F35" i="9"/>
  <c r="H35" i="9" l="1"/>
  <c r="K35" i="9" l="1"/>
  <c r="L35" i="9" s="1"/>
  <c r="I35" i="9"/>
  <c r="O35" i="9" l="1"/>
  <c r="M35" i="9"/>
  <c r="D34" i="9" s="1"/>
  <c r="E34" i="9" l="1"/>
  <c r="G34" i="9"/>
  <c r="J34" i="9"/>
  <c r="Q34" i="9"/>
  <c r="F34" i="9"/>
  <c r="H34" i="9" l="1"/>
  <c r="K34" i="9" l="1"/>
  <c r="L34" i="9" s="1"/>
  <c r="I34" i="9"/>
  <c r="O34" i="9" l="1"/>
  <c r="M34" i="9"/>
  <c r="D33" i="9" s="1"/>
  <c r="E33" i="9" l="1"/>
  <c r="F33" i="9"/>
  <c r="Q33" i="9"/>
  <c r="G33" i="9"/>
  <c r="J33" i="9"/>
  <c r="H33" i="9" l="1"/>
  <c r="K33" i="9" l="1"/>
  <c r="L33" i="9" s="1"/>
  <c r="I33" i="9"/>
  <c r="O33" i="9" l="1"/>
  <c r="M33" i="9"/>
  <c r="D32" i="9" s="1"/>
  <c r="E32" i="9" l="1"/>
  <c r="J32" i="9"/>
  <c r="Q32" i="9"/>
  <c r="G32" i="9"/>
  <c r="F32" i="9"/>
  <c r="H32" i="9" l="1"/>
  <c r="K32" i="9" l="1"/>
  <c r="L32" i="9" s="1"/>
  <c r="I32" i="9"/>
  <c r="O32" i="9" l="1"/>
  <c r="M32" i="9"/>
  <c r="D31" i="9" s="1"/>
  <c r="E31" i="9" l="1"/>
  <c r="Q31" i="9"/>
  <c r="J31" i="9"/>
  <c r="F31" i="9"/>
  <c r="G31" i="9"/>
  <c r="H31" i="9" l="1"/>
  <c r="K31" i="9" l="1"/>
  <c r="L31" i="9" s="1"/>
  <c r="I31" i="9"/>
  <c r="O31" i="9" l="1"/>
  <c r="M31" i="9"/>
  <c r="D30" i="9" s="1"/>
  <c r="E30" i="9" l="1"/>
  <c r="G30" i="9"/>
  <c r="F30" i="9"/>
  <c r="J30" i="9"/>
  <c r="Q30" i="9"/>
  <c r="H30" i="9" l="1"/>
  <c r="K30" i="9" l="1"/>
  <c r="L30" i="9" s="1"/>
  <c r="I30" i="9"/>
  <c r="O30" i="9" l="1"/>
  <c r="M30" i="9"/>
  <c r="D29" i="9" s="1"/>
  <c r="E29" i="9" l="1"/>
  <c r="J29" i="9"/>
  <c r="G29" i="9"/>
  <c r="Q29" i="9"/>
  <c r="F29" i="9"/>
  <c r="H29" i="9" l="1"/>
  <c r="K29" i="9" l="1"/>
  <c r="L29" i="9" s="1"/>
  <c r="I29" i="9"/>
  <c r="O29" i="9" l="1"/>
  <c r="M29" i="9"/>
  <c r="D28" i="9" s="1"/>
  <c r="E28" i="9" l="1"/>
  <c r="G28" i="9"/>
  <c r="F28" i="9"/>
  <c r="Q28" i="9"/>
  <c r="J28" i="9"/>
  <c r="H28" i="9" l="1"/>
  <c r="K28" i="9" l="1"/>
  <c r="L28" i="9" s="1"/>
  <c r="I28" i="9"/>
  <c r="O28" i="9" l="1"/>
  <c r="M28" i="9"/>
  <c r="D27" i="9" s="1"/>
  <c r="E27" i="9" l="1"/>
  <c r="Q27" i="9"/>
  <c r="F27" i="9"/>
  <c r="J27" i="9"/>
  <c r="G27" i="9"/>
  <c r="H27" i="9" l="1"/>
  <c r="K27" i="9" l="1"/>
  <c r="L27" i="9" s="1"/>
  <c r="I27" i="9"/>
  <c r="O27" i="9" l="1"/>
  <c r="M27" i="9"/>
  <c r="D26" i="9" s="1"/>
  <c r="E26" i="9" l="1"/>
  <c r="F26" i="9"/>
  <c r="J26" i="9"/>
  <c r="Q26" i="9"/>
  <c r="G26" i="9"/>
  <c r="H26" i="9" l="1"/>
  <c r="K26" i="9" l="1"/>
  <c r="L26" i="9" s="1"/>
  <c r="I26" i="9"/>
  <c r="O26" i="9" l="1"/>
  <c r="M26" i="9"/>
  <c r="D25" i="9" s="1"/>
  <c r="E25" i="9" l="1"/>
  <c r="J25" i="9"/>
  <c r="F25" i="9"/>
  <c r="Q25" i="9"/>
  <c r="G25" i="9"/>
  <c r="H25" i="9" l="1"/>
  <c r="K25" i="9" l="1"/>
  <c r="L25" i="9" s="1"/>
  <c r="I25" i="9"/>
  <c r="O25" i="9" l="1"/>
  <c r="M25" i="9"/>
  <c r="D24" i="9" s="1"/>
  <c r="E24" i="9" l="1"/>
  <c r="F24" i="9"/>
  <c r="G24" i="9"/>
  <c r="J24" i="9"/>
  <c r="Q24" i="9"/>
  <c r="H24" i="9" l="1"/>
  <c r="K24" i="9" l="1"/>
  <c r="L24" i="9" s="1"/>
  <c r="I24" i="9"/>
  <c r="O24" i="9" l="1"/>
  <c r="M24" i="9"/>
  <c r="D23" i="9" s="1"/>
  <c r="E23" i="9" l="1"/>
  <c r="Q23" i="9"/>
  <c r="F23" i="9"/>
  <c r="J23" i="9"/>
  <c r="G23" i="9"/>
  <c r="H23" i="9" l="1"/>
  <c r="K23" i="9" l="1"/>
  <c r="L23" i="9" s="1"/>
  <c r="I23" i="9"/>
  <c r="O23" i="9" l="1"/>
  <c r="M23" i="9"/>
  <c r="D22" i="9" s="1"/>
  <c r="E22" i="9" l="1"/>
  <c r="V6" i="9"/>
  <c r="J22" i="9"/>
  <c r="F22" i="9"/>
  <c r="Q22" i="9"/>
  <c r="G22" i="9"/>
  <c r="H22" i="9" l="1"/>
  <c r="K22" i="9" l="1"/>
  <c r="L22" i="9" s="1"/>
  <c r="I22" i="9"/>
  <c r="O22" i="9" l="1"/>
  <c r="O20" i="9" s="1"/>
  <c r="M22" i="9"/>
  <c r="M20" i="9" s="1"/>
  <c r="D20" i="9" s="1"/>
  <c r="U6" i="9" s="1"/>
  <c r="K2" i="9" l="1"/>
  <c r="X6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<sst xmlns="http://schemas.openxmlformats.org/spreadsheetml/2006/main" count="525" uniqueCount="250">
  <si>
    <t>Units</t>
  </si>
  <si>
    <t>Temperature</t>
  </si>
  <si>
    <t>K</t>
  </si>
  <si>
    <t>Pressure</t>
  </si>
  <si>
    <t>bar</t>
  </si>
  <si>
    <t>kg/m3</t>
  </si>
  <si>
    <t>C</t>
  </si>
  <si>
    <t>Saturated conditions</t>
  </si>
  <si>
    <t>T, K</t>
  </si>
  <si>
    <t>P, bar</t>
  </si>
  <si>
    <t>Mole weight</t>
  </si>
  <si>
    <t>Gas constant</t>
  </si>
  <si>
    <t>kJ/kgmol.K</t>
  </si>
  <si>
    <t>kg/kgmol</t>
  </si>
  <si>
    <t>Z</t>
  </si>
  <si>
    <t>T, C</t>
  </si>
  <si>
    <t>C to K</t>
  </si>
  <si>
    <t>Tcrit</t>
  </si>
  <si>
    <t>Pcrit</t>
  </si>
  <si>
    <t>rho crit</t>
  </si>
  <si>
    <t>Superheated conditions</t>
  </si>
  <si>
    <t>saturated</t>
  </si>
  <si>
    <t>Density, kg/m3</t>
  </si>
  <si>
    <t>h, kJ/kg</t>
  </si>
  <si>
    <t>S, kJ/kg.K</t>
  </si>
  <si>
    <t>cp, kJ/kg.K</t>
  </si>
  <si>
    <t>k</t>
  </si>
  <si>
    <t>cv, kJ/kg.K</t>
  </si>
  <si>
    <t>(Ts, C)</t>
  </si>
  <si>
    <t>Physical Properties</t>
  </si>
  <si>
    <t>Constants</t>
  </si>
  <si>
    <t>T</t>
  </si>
  <si>
    <t>P</t>
  </si>
  <si>
    <t>Liquid density, kg/m3</t>
  </si>
  <si>
    <t>Vapour density, kg/m3</t>
  </si>
  <si>
    <t>Liquid enthalpy, kJ/kg</t>
  </si>
  <si>
    <t>DH vapourization, kJ/kg</t>
  </si>
  <si>
    <t>Vapour enthalpy, kJ/kg</t>
  </si>
  <si>
    <t>Liquid entropy, kJ/kg.K</t>
  </si>
  <si>
    <t>Vapour entropy, kJ/kg.K</t>
  </si>
  <si>
    <t>Liquid cp, kJ/kg.K</t>
  </si>
  <si>
    <t>Vapour cp, kJ/kg.K</t>
  </si>
  <si>
    <t>Liquid cv, kJ/kg.K</t>
  </si>
  <si>
    <t>Vapour cv, kJ/kg.K</t>
  </si>
  <si>
    <t>Liquid viscosity, Pa.s</t>
  </si>
  <si>
    <t>Vapour viscosity, Pa.s</t>
  </si>
  <si>
    <t>Liquid thermal conductivity, W/m.K</t>
  </si>
  <si>
    <t>Vapour thermal conductivity, W/m.K</t>
  </si>
  <si>
    <t>Change the yellow shaded areas</t>
  </si>
  <si>
    <t>Saturated steam tables calculated with IAWPS97</t>
  </si>
  <si>
    <t>Superheated steam tables calculated with IAWPS97</t>
  </si>
  <si>
    <t>Validity</t>
  </si>
  <si>
    <t>Density</t>
  </si>
  <si>
    <t>Liquid water is shaded blue</t>
  </si>
  <si>
    <t>General steam properties calculated with IAWPS97</t>
  </si>
  <si>
    <t>Enthalpy, kJ/kg</t>
  </si>
  <si>
    <t>Entropy, kJ/kg.K</t>
  </si>
  <si>
    <t>Cp, kJ/kg.K</t>
  </si>
  <si>
    <t>Cv, kJ/kg.K</t>
  </si>
  <si>
    <t>Viscosity, Pa.s</t>
  </si>
  <si>
    <t>Thermal conductivity, W/m.K</t>
  </si>
  <si>
    <t>Vapour Isentropic Coeff (Cp/Cv)</t>
  </si>
  <si>
    <t>Isentropic Coeff k</t>
  </si>
  <si>
    <t>Rev</t>
  </si>
  <si>
    <t>Liquid Speed of Sound c, m/s</t>
  </si>
  <si>
    <t>Vapour Speed of Sound c, m/s</t>
  </si>
  <si>
    <t>Speed of sound, m/s</t>
  </si>
  <si>
    <t>Surface tension, mN/m</t>
  </si>
  <si>
    <t>Comment</t>
  </si>
  <si>
    <t>Patm</t>
  </si>
  <si>
    <t>P, kPag</t>
  </si>
  <si>
    <t>Quick tabulation for steam properties</t>
  </si>
  <si>
    <t>kPaa</t>
  </si>
  <si>
    <t>v</t>
  </si>
  <si>
    <t>H</t>
  </si>
  <si>
    <t>L</t>
  </si>
  <si>
    <t>V</t>
  </si>
  <si>
    <t>Tin</t>
  </si>
  <si>
    <t>Hin</t>
  </si>
  <si>
    <t>mass flow</t>
  </si>
  <si>
    <t>kg/h</t>
  </si>
  <si>
    <t>N tubes</t>
  </si>
  <si>
    <t>Tube ID</t>
  </si>
  <si>
    <t>mm</t>
  </si>
  <si>
    <t>m2</t>
  </si>
  <si>
    <t>area</t>
  </si>
  <si>
    <t>quality out</t>
  </si>
  <si>
    <t>Quality</t>
  </si>
  <si>
    <t>V out</t>
  </si>
  <si>
    <t>rho out</t>
  </si>
  <si>
    <t>veloc out</t>
  </si>
  <si>
    <t>m/s</t>
  </si>
  <si>
    <t>v*sqrt(rho)</t>
  </si>
  <si>
    <t>Hout</t>
  </si>
  <si>
    <t>Duty</t>
  </si>
  <si>
    <t>GJ/hr</t>
  </si>
  <si>
    <t>C value cutoff</t>
  </si>
  <si>
    <t>m150</t>
  </si>
  <si>
    <t>duty</t>
  </si>
  <si>
    <t>C value</t>
  </si>
  <si>
    <t>m160</t>
  </si>
  <si>
    <t>m170</t>
  </si>
  <si>
    <t>C160</t>
  </si>
  <si>
    <t>C170</t>
  </si>
  <si>
    <t>Tres</t>
  </si>
  <si>
    <t>Hsat</t>
  </si>
  <si>
    <t>kJ/kg</t>
  </si>
  <si>
    <t>Heat used</t>
  </si>
  <si>
    <t>quality</t>
  </si>
  <si>
    <t>Tabulate the H profile through the coil</t>
  </si>
  <si>
    <t>Volume</t>
  </si>
  <si>
    <t>m3</t>
  </si>
  <si>
    <t>Inlet H</t>
  </si>
  <si>
    <t>inlet T</t>
  </si>
  <si>
    <t>Op line slope</t>
  </si>
  <si>
    <t>kW/m3</t>
  </si>
  <si>
    <t>kg/s</t>
  </si>
  <si>
    <t>Target steam qual</t>
  </si>
  <si>
    <t>Target H</t>
  </si>
  <si>
    <t>calculate enthalpy</t>
  </si>
  <si>
    <t>Pout</t>
  </si>
  <si>
    <t>HW)_out</t>
  </si>
  <si>
    <t>HS_out</t>
  </si>
  <si>
    <t>nsteps</t>
  </si>
  <si>
    <t>dH</t>
  </si>
  <si>
    <t>P, pKa</t>
  </si>
  <si>
    <t>March this backwards,and get the backpressure.</t>
  </si>
  <si>
    <t>I think I can estimate the steam flow rate from the backpressure (like a venturi but probably less accurate)</t>
  </si>
  <si>
    <t>Erosion</t>
  </si>
  <si>
    <t>Usable heat</t>
  </si>
  <si>
    <t>Fired duty</t>
  </si>
  <si>
    <t>fired</t>
  </si>
  <si>
    <t>erosional limit</t>
  </si>
  <si>
    <t>Delta 150</t>
  </si>
  <si>
    <t>Firing limit</t>
  </si>
  <si>
    <t>percent</t>
  </si>
  <si>
    <t>Hydraulics</t>
  </si>
  <si>
    <t>mdot</t>
  </si>
  <si>
    <t>pass</t>
  </si>
  <si>
    <t>m</t>
  </si>
  <si>
    <t>Vol flux</t>
  </si>
  <si>
    <t>vol</t>
  </si>
  <si>
    <t>Total heat</t>
  </si>
  <si>
    <t>kW</t>
  </si>
  <si>
    <t>Delta H</t>
  </si>
  <si>
    <t>looks right</t>
  </si>
  <si>
    <t>kPa</t>
  </si>
  <si>
    <t>Length</t>
  </si>
  <si>
    <t>rounded</t>
  </si>
  <si>
    <t>L, m</t>
  </si>
  <si>
    <t>V, m3</t>
  </si>
  <si>
    <t>H, kJ/kg</t>
  </si>
  <si>
    <t>dL</t>
  </si>
  <si>
    <t>P, kPa</t>
  </si>
  <si>
    <t>x qual</t>
  </si>
  <si>
    <t>HsatL</t>
  </si>
  <si>
    <t>HsatV</t>
  </si>
  <si>
    <t>rsatL</t>
  </si>
  <si>
    <t>rsatv</t>
  </si>
  <si>
    <t>X_LM</t>
  </si>
  <si>
    <t>PHI</t>
  </si>
  <si>
    <r>
      <t>1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+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20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chi_LM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+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1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chi_LM</t>
    </r>
    <r>
      <rPr>
        <sz val="12"/>
        <color rgb="FF5C5C5C"/>
        <rFont val="Monospaced"/>
      </rPr>
      <t>^</t>
    </r>
    <r>
      <rPr>
        <sz val="12"/>
        <color rgb="FFBC8F8F"/>
        <rFont val="Monospaced"/>
      </rPr>
      <t>2</t>
    </r>
  </si>
  <si>
    <r>
      <t>-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phi_LM</t>
    </r>
    <r>
      <rPr>
        <sz val="12"/>
        <color rgb="FF5C5C5C"/>
        <rFont val="Monospaced"/>
      </rPr>
      <t>*</t>
    </r>
    <r>
      <rPr>
        <sz val="12"/>
        <color rgb="FF4A55DB"/>
        <rFont val="Monospaced"/>
      </rPr>
      <t>(</t>
    </r>
    <r>
      <rPr>
        <sz val="12"/>
        <color rgb="FF000000"/>
        <rFont val="Monospaced"/>
      </rPr>
      <t>dx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flowArea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ff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</t>
    </r>
    <r>
      <rPr>
        <sz val="12"/>
        <color rgb="FFBC8F8F"/>
        <rFont val="Monospaced"/>
      </rPr>
      <t>1.0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dTube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0.5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</t>
    </r>
    <r>
      <rPr>
        <sz val="12"/>
        <color rgb="FF000000"/>
        <rFont val="Monospaced"/>
      </rPr>
      <t>VsatL_i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((</t>
    </r>
    <r>
      <rPr>
        <sz val="12"/>
        <color rgb="FF000000"/>
        <rFont val="Monospaced"/>
      </rPr>
      <t>mdot_l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flowArea</t>
    </r>
    <r>
      <rPr>
        <sz val="12"/>
        <color rgb="FF4A55DB"/>
        <rFont val="Monospaced"/>
      </rPr>
      <t>)</t>
    </r>
    <r>
      <rPr>
        <sz val="12"/>
        <color rgb="FF5C5C5C"/>
        <rFont val="Monospaced"/>
      </rPr>
      <t>^</t>
    </r>
    <r>
      <rPr>
        <sz val="12"/>
        <color rgb="FFBC8F8F"/>
        <rFont val="Monospaced"/>
      </rPr>
      <t>2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1000</t>
    </r>
  </si>
  <si>
    <t>dp, kPa</t>
  </si>
  <si>
    <t>ff</t>
  </si>
  <si>
    <t>DP mulitplier</t>
  </si>
  <si>
    <t>this line is for the DP across a control valve</t>
  </si>
  <si>
    <t>pretty much design rate heat input</t>
  </si>
  <si>
    <t>rm</t>
  </si>
  <si>
    <t>firing</t>
  </si>
  <si>
    <t>holdup</t>
  </si>
  <si>
    <t>mean temp</t>
  </si>
  <si>
    <t>tguess</t>
  </si>
  <si>
    <t>x</t>
  </si>
  <si>
    <t>t1</t>
  </si>
  <si>
    <t>tt2</t>
  </si>
  <si>
    <t>fire</t>
  </si>
  <si>
    <t>rhoL</t>
  </si>
  <si>
    <t>h</t>
  </si>
  <si>
    <t>p</t>
  </si>
  <si>
    <t>mF</t>
  </si>
  <si>
    <t>sonic p</t>
  </si>
  <si>
    <t>Specify P</t>
  </si>
  <si>
    <t>Kevin Dorma Consulting, Ltd.</t>
  </si>
  <si>
    <t>1/K</t>
  </si>
  <si>
    <t>P kPa</t>
  </si>
  <si>
    <t>ln P</t>
  </si>
  <si>
    <t>Z is a quadratic in T</t>
  </si>
  <si>
    <t>T^n</t>
  </si>
  <si>
    <t>Z^m</t>
  </si>
  <si>
    <t xml:space="preserve">Linear Interp with  </t>
  </si>
  <si>
    <t>1/V</t>
  </si>
  <si>
    <t>dx</t>
  </si>
  <si>
    <t>err</t>
  </si>
  <si>
    <t>This is second order accurate</t>
  </si>
  <si>
    <t>Interolate Z</t>
  </si>
  <si>
    <t>z err</t>
  </si>
  <si>
    <t>Also second order</t>
  </si>
  <si>
    <t>Interolate ln P</t>
  </si>
  <si>
    <t>secon order</t>
  </si>
  <si>
    <t>PV = ZRT</t>
  </si>
  <si>
    <t>V/T = ZT/P</t>
  </si>
  <si>
    <t>Quick turbine calculations</t>
  </si>
  <si>
    <t>P, kPaa</t>
  </si>
  <si>
    <t>turbine efficiency</t>
  </si>
  <si>
    <t>Pout, kPaa</t>
  </si>
  <si>
    <t>Tout</t>
  </si>
  <si>
    <t>turbine effic</t>
  </si>
  <si>
    <t>slope</t>
  </si>
  <si>
    <t>I could create a simple linear eqn to define</t>
  </si>
  <si>
    <t>the outlet enthalpy of a turbine</t>
  </si>
  <si>
    <t>Hout = a + b.Hin where b depends on efficiency.</t>
  </si>
  <si>
    <t xml:space="preserve">This would allow me to close the H balance </t>
  </si>
  <si>
    <t>for turbines.  Far less iteration.</t>
  </si>
  <si>
    <t>(k-1)/k</t>
  </si>
  <si>
    <t>P1/P2</t>
  </si>
  <si>
    <t>T1/T2</t>
  </si>
  <si>
    <t>dT/T1</t>
  </si>
  <si>
    <t>I can do this relationship off-line</t>
  </si>
  <si>
    <t>I need the outlet effic at a single point and a coeff for the slope.</t>
  </si>
  <si>
    <t>DH</t>
  </si>
  <si>
    <t>a</t>
  </si>
  <si>
    <t>b</t>
  </si>
  <si>
    <t>A simple linear equation relating Hout to Hin should be adquate.</t>
  </si>
  <si>
    <t>I need to change a spec to include a lnear equation.</t>
  </si>
  <si>
    <t>Is there an optimum pressure for steam supply?</t>
  </si>
  <si>
    <t>LP stage</t>
  </si>
  <si>
    <t>tot DH</t>
  </si>
  <si>
    <t>make steam at the highest pressure possible to achieve the desired quality on the exhaust.</t>
  </si>
  <si>
    <t>More efficient turbine means we need to make steam at a lower pressue to avoid washing out the turbine blades.</t>
  </si>
  <si>
    <t>feedwater T</t>
  </si>
  <si>
    <t>basis kJ</t>
  </si>
  <si>
    <t>dH furn</t>
  </si>
  <si>
    <t>kg furnace</t>
  </si>
  <si>
    <t>kJ useful</t>
  </si>
  <si>
    <t>Temperature, C</t>
  </si>
  <si>
    <t>Molality, gmol/kg mix</t>
  </si>
  <si>
    <t>water visc, cP</t>
  </si>
  <si>
    <t>MNaCl</t>
  </si>
  <si>
    <t>MH2O</t>
  </si>
  <si>
    <t>k/mol</t>
  </si>
  <si>
    <t>Saturation table</t>
  </si>
  <si>
    <t>from KGO group</t>
  </si>
  <si>
    <t>SG</t>
  </si>
  <si>
    <t>wt% NaCl</t>
  </si>
  <si>
    <t>density, lb/Usgal</t>
  </si>
  <si>
    <t>wtFrac</t>
  </si>
  <si>
    <t>Phillips (1981) correlation for muBrine / muWater</t>
  </si>
  <si>
    <t>muB/muW</t>
  </si>
  <si>
    <t>muB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</si>
</sst>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"/>
    <numFmt numFmtId="166" formatCode="0.0"/>
    <numFmt numFmtId="167" formatCode="0.00E+00;\蘀"/>
    <numFmt numFmtId="168" formatCode="0.000E+00"/>
    <numFmt numFmtId="169" formatCode="\(0.00\)"/>
    <numFmt numFmtId="170" formatCode="0.000000"/>
  </numFmts>
  <fonts count="12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2"/>
      <name val="Monospaced"/>
    </font>
    <font>
      <sz val="12"/>
      <color rgb="FFBC8F8F"/>
      <name val="Monospaced"/>
    </font>
    <font>
      <sz val="12"/>
      <color rgb="FF5C5C5C"/>
      <name val="Monospaced"/>
    </font>
    <font>
      <sz val="12"/>
      <color rgb="FF000000"/>
      <name val="Monospaced"/>
    </font>
    <font>
      <sz val="12"/>
      <color rgb="FF4A55DB"/>
      <name val="Monospaced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name val="ArialMT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4">
    <xf numFmtId="0" fontId="0" fillId="0" borderId="0"/>
    <xf numFmtId="9" fontId="3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74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8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2" xfId="0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/>
    <xf numFmtId="169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2" borderId="2" xfId="0" applyFill="1" applyBorder="1" applyAlignment="1">
      <alignment horizontal="center"/>
    </xf>
    <xf numFmtId="0" fontId="1" fillId="3" borderId="3" xfId="0" applyFont="1" applyFill="1" applyBorder="1" applyAlignment="1">
      <alignment horizontal="center" vertical="top" wrapText="1"/>
    </xf>
    <xf numFmtId="0" fontId="0" fillId="0" borderId="0" xfId="0" applyBorder="1"/>
    <xf numFmtId="0" fontId="1" fillId="0" borderId="0" xfId="0" applyFont="1" applyBorder="1"/>
    <xf numFmtId="0" fontId="1" fillId="2" borderId="1" xfId="0" applyFont="1" applyFill="1" applyBorder="1" applyAlignment="1">
      <alignment horizontal="center"/>
    </xf>
    <xf numFmtId="0" fontId="0" fillId="2" borderId="0" xfId="0" applyFill="1"/>
    <xf numFmtId="0" fontId="0" fillId="4" borderId="0" xfId="0" applyFill="1"/>
    <xf numFmtId="0" fontId="0" fillId="0" borderId="0" xfId="0" applyFill="1"/>
    <xf numFmtId="168" fontId="0" fillId="2" borderId="2" xfId="0" applyNumberFormat="1" applyFill="1" applyBorder="1" applyAlignment="1">
      <alignment horizontal="center"/>
    </xf>
    <xf numFmtId="11" fontId="0" fillId="0" borderId="2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0" fontId="3" fillId="0" borderId="0" xfId="0" applyFont="1"/>
    <xf numFmtId="0" fontId="3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 vertical="top" wrapText="1"/>
    </xf>
    <xf numFmtId="2" fontId="0" fillId="0" borderId="0" xfId="0" applyNumberFormat="1"/>
    <xf numFmtId="166" fontId="0" fillId="2" borderId="2" xfId="0" applyNumberFormat="1" applyFill="1" applyBorder="1" applyAlignment="1">
      <alignment horizontal="center"/>
    </xf>
    <xf numFmtId="1" fontId="0" fillId="0" borderId="0" xfId="0" applyNumberFormat="1"/>
    <xf numFmtId="0" fontId="0" fillId="5" borderId="0" xfId="0" applyFill="1"/>
    <xf numFmtId="9" fontId="0" fillId="0" borderId="0" xfId="1" applyFont="1"/>
    <xf numFmtId="0" fontId="5" fillId="0" borderId="0" xfId="0" applyFont="1"/>
    <xf numFmtId="0" fontId="6" fillId="0" borderId="0" xfId="0" applyFont="1"/>
    <xf numFmtId="1" fontId="0" fillId="0" borderId="2" xfId="0" applyNumberFormat="1" applyFill="1" applyBorder="1" applyAlignment="1">
      <alignment horizontal="center"/>
    </xf>
    <xf numFmtId="166" fontId="0" fillId="0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0" borderId="0" xfId="0" applyFont="1"/>
    <xf numFmtId="0" fontId="3" fillId="2" borderId="0" xfId="0" applyFont="1" applyFill="1" applyBorder="1" applyAlignment="1">
      <alignment horizontal="center"/>
    </xf>
    <xf numFmtId="166" fontId="0" fillId="2" borderId="0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0" xfId="0" applyNumberFormat="1"/>
    <xf numFmtId="168" fontId="0" fillId="0" borderId="0" xfId="0" applyNumberFormat="1"/>
    <xf numFmtId="164" fontId="0" fillId="0" borderId="0" xfId="0" applyNumberFormat="1"/>
    <xf numFmtId="165" fontId="0" fillId="0" borderId="0" xfId="0" applyNumberFormat="1"/>
    <xf numFmtId="170" fontId="0" fillId="0" borderId="0" xfId="0" applyNumberFormat="1"/>
    <xf numFmtId="1" fontId="3" fillId="2" borderId="2" xfId="0" applyNumberFormat="1" applyFont="1" applyFill="1" applyBorder="1" applyAlignment="1">
      <alignment horizontal="center"/>
    </xf>
    <xf numFmtId="9" fontId="0" fillId="0" borderId="0" xfId="0" applyNumberFormat="1"/>
    <xf numFmtId="0" fontId="11" fillId="0" borderId="0" xfId="0" applyFont="1"/>
  </cellXfs>
  <cellStyles count="1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Normal" xfId="0" builtinId="0"/>
    <cellStyle name="Percent" xfId="1" builtinId="5"/>
  </cellStyles>
  <dxfs count="10"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Water'!$AN$20</c:f>
              <c:strCache>
                <c:ptCount val="1"/>
                <c:pt idx="0">
                  <c:v>Z^m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Water'!$AJ$21:$AJ$32</c:f>
              <c:numCache>
                <c:formatCode>General</c:formatCode>
                <c:ptCount val="12"/>
                <c:pt idx="0">
                  <c:v>373.15</c:v>
                </c:pt>
                <c:pt idx="1">
                  <c:v>393.15</c:v>
                </c:pt>
                <c:pt idx="2">
                  <c:v>413.15</c:v>
                </c:pt>
                <c:pt idx="3">
                  <c:v>433.15</c:v>
                </c:pt>
                <c:pt idx="4">
                  <c:v>453.15</c:v>
                </c:pt>
                <c:pt idx="5">
                  <c:v>473.15</c:v>
                </c:pt>
                <c:pt idx="6">
                  <c:v>493.15</c:v>
                </c:pt>
                <c:pt idx="7">
                  <c:v>513.15</c:v>
                </c:pt>
                <c:pt idx="8">
                  <c:v>533.15</c:v>
                </c:pt>
                <c:pt idx="9">
                  <c:v>553.15</c:v>
                </c:pt>
                <c:pt idx="10">
                  <c:v>573.15</c:v>
                </c:pt>
                <c:pt idx="11">
                  <c:v>593.15</c:v>
                </c:pt>
              </c:numCache>
            </c:numRef>
          </c:xVal>
          <c:yVal>
            <c:numRef>
              <c:f>'Saturated Water'!$AN$21:$AN$32</c:f>
              <c:numCache>
                <c:formatCode>General</c:formatCode>
                <c:ptCount val="12"/>
                <c:pt idx="0">
                  <c:v>0.93959666565905797</c:v>
                </c:pt>
                <c:pt idx="1">
                  <c:v>0.90693123423839239</c:v>
                </c:pt>
                <c:pt idx="2">
                  <c:v>0.86387586694124607</c:v>
                </c:pt>
                <c:pt idx="3">
                  <c:v>0.8100893806083489</c:v>
                </c:pt>
                <c:pt idx="4">
                  <c:v>0.74607963382136122</c:v>
                </c:pt>
                <c:pt idx="5">
                  <c:v>0.67302012963321323</c:v>
                </c:pt>
                <c:pt idx="6">
                  <c:v>0.59257690209134373</c:v>
                </c:pt>
                <c:pt idx="7">
                  <c:v>0.50684118848521731</c:v>
                </c:pt>
                <c:pt idx="8">
                  <c:v>0.41832738196234703</c:v>
                </c:pt>
                <c:pt idx="9">
                  <c:v>0.32991572874872382</c:v>
                </c:pt>
                <c:pt idx="10">
                  <c:v>0.24464185162133259</c:v>
                </c:pt>
                <c:pt idx="11">
                  <c:v>0.1655822885524692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3-5F4E-819B-17BFF3CB8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576416"/>
        <c:axId val="-1723571760"/>
      </c:scatterChart>
      <c:valAx>
        <c:axId val="-1723576416"/>
        <c:scaling>
          <c:orientation val="minMax"/>
          <c:max val="6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571760"/>
        <c:crosses val="autoZero"/>
        <c:crossBetween val="midCat"/>
      </c:valAx>
      <c:valAx>
        <c:axId val="-1723571760"/>
        <c:scaling>
          <c:orientation val="minMax"/>
          <c:min val="0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57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Water'!$AN$20</c:f>
              <c:strCache>
                <c:ptCount val="1"/>
                <c:pt idx="0">
                  <c:v>Z^m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Water'!$AM$21:$AM$32</c:f>
              <c:numCache>
                <c:formatCode>General</c:formatCode>
                <c:ptCount val="12"/>
                <c:pt idx="0">
                  <c:v>0.30637980480900956</c:v>
                </c:pt>
                <c:pt idx="1">
                  <c:v>0.32618946917540775</c:v>
                </c:pt>
                <c:pt idx="2">
                  <c:v>0.34620178959485409</c:v>
                </c:pt>
                <c:pt idx="3">
                  <c:v>0.36640887336536071</c:v>
                </c:pt>
                <c:pt idx="4">
                  <c:v>0.38680348756906052</c:v>
                </c:pt>
                <c:pt idx="5">
                  <c:v>0.40737897705489606</c:v>
                </c:pt>
                <c:pt idx="6">
                  <c:v>0.42812919567428004</c:v>
                </c:pt>
                <c:pt idx="7">
                  <c:v>0.44904844817420136</c:v>
                </c:pt>
                <c:pt idx="8">
                  <c:v>0.47013144074256141</c:v>
                </c:pt>
                <c:pt idx="9">
                  <c:v>0.49137323863932458</c:v>
                </c:pt>
                <c:pt idx="10">
                  <c:v>0.51276922967736382</c:v>
                </c:pt>
                <c:pt idx="11">
                  <c:v>0.53431509256836496</c:v>
                </c:pt>
              </c:numCache>
            </c:numRef>
          </c:xVal>
          <c:yVal>
            <c:numRef>
              <c:f>'Saturated Water'!$AN$21:$AN$32</c:f>
              <c:numCache>
                <c:formatCode>General</c:formatCode>
                <c:ptCount val="12"/>
                <c:pt idx="0">
                  <c:v>0.93959666565905797</c:v>
                </c:pt>
                <c:pt idx="1">
                  <c:v>0.90693123423839239</c:v>
                </c:pt>
                <c:pt idx="2">
                  <c:v>0.86387586694124607</c:v>
                </c:pt>
                <c:pt idx="3">
                  <c:v>0.8100893806083489</c:v>
                </c:pt>
                <c:pt idx="4">
                  <c:v>0.74607963382136122</c:v>
                </c:pt>
                <c:pt idx="5">
                  <c:v>0.67302012963321323</c:v>
                </c:pt>
                <c:pt idx="6">
                  <c:v>0.59257690209134373</c:v>
                </c:pt>
                <c:pt idx="7">
                  <c:v>0.50684118848521731</c:v>
                </c:pt>
                <c:pt idx="8">
                  <c:v>0.41832738196234703</c:v>
                </c:pt>
                <c:pt idx="9">
                  <c:v>0.32991572874872382</c:v>
                </c:pt>
                <c:pt idx="10">
                  <c:v>0.24464185162133259</c:v>
                </c:pt>
                <c:pt idx="11">
                  <c:v>0.1655822885524692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49-1643-AB79-B66C9E240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414720"/>
        <c:axId val="-1723410160"/>
      </c:scatterChart>
      <c:valAx>
        <c:axId val="-172341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410160"/>
        <c:crosses val="autoZero"/>
        <c:crossBetween val="midCat"/>
      </c:valAx>
      <c:valAx>
        <c:axId val="-172341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414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'Saturated Water'!$AL$20</c:f>
              <c:strCache>
                <c:ptCount val="1"/>
                <c:pt idx="0">
                  <c:v>1/V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'Saturated Water'!$AJ$21:$AJ$32</c:f>
              <c:numCache>
                <c:formatCode>General</c:formatCode>
                <c:ptCount val="12"/>
                <c:pt idx="0">
                  <c:v>373.15</c:v>
                </c:pt>
                <c:pt idx="1">
                  <c:v>393.15</c:v>
                </c:pt>
                <c:pt idx="2">
                  <c:v>413.15</c:v>
                </c:pt>
                <c:pt idx="3">
                  <c:v>433.15</c:v>
                </c:pt>
                <c:pt idx="4">
                  <c:v>453.15</c:v>
                </c:pt>
                <c:pt idx="5">
                  <c:v>473.15</c:v>
                </c:pt>
                <c:pt idx="6">
                  <c:v>493.15</c:v>
                </c:pt>
                <c:pt idx="7">
                  <c:v>513.15</c:v>
                </c:pt>
                <c:pt idx="8">
                  <c:v>533.15</c:v>
                </c:pt>
                <c:pt idx="9">
                  <c:v>553.15</c:v>
                </c:pt>
                <c:pt idx="10">
                  <c:v>573.15</c:v>
                </c:pt>
                <c:pt idx="11">
                  <c:v>593.15</c:v>
                </c:pt>
              </c:numCache>
            </c:numRef>
          </c:xVal>
          <c:yVal>
            <c:numRef>
              <c:f>'Saturated Water'!$AL$21:$AL$32</c:f>
              <c:numCache>
                <c:formatCode>General</c:formatCode>
                <c:ptCount val="12"/>
                <c:pt idx="0">
                  <c:v>0.59813599252570304</c:v>
                </c:pt>
                <c:pt idx="1">
                  <c:v>1.1219517174818006</c:v>
                </c:pt>
                <c:pt idx="2">
                  <c:v>1.9664941863081919</c:v>
                </c:pt>
                <c:pt idx="3">
                  <c:v>3.259256437288756</c:v>
                </c:pt>
                <c:pt idx="4">
                  <c:v>5.1583189926911004</c:v>
                </c:pt>
                <c:pt idx="5">
                  <c:v>7.8602558814044983</c:v>
                </c:pt>
                <c:pt idx="6">
                  <c:v>11.614304679217216</c:v>
                </c:pt>
                <c:pt idx="7">
                  <c:v>16.747578872158211</c:v>
                </c:pt>
                <c:pt idx="8">
                  <c:v>23.710455407296024</c:v>
                </c:pt>
                <c:pt idx="9">
                  <c:v>33.163134527648452</c:v>
                </c:pt>
                <c:pt idx="10">
                  <c:v>46.161520159037551</c:v>
                </c:pt>
                <c:pt idx="11">
                  <c:v>64.616484752065887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76-BB42-BDCA-A0B12E6DE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9821072"/>
        <c:axId val="-1768585504"/>
      </c:scatterChart>
      <c:valAx>
        <c:axId val="-16698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8585504"/>
        <c:crosses val="autoZero"/>
        <c:crossBetween val="midCat"/>
      </c:valAx>
      <c:valAx>
        <c:axId val="-176858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9821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Water'!$AV$28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Water'!$AW$27:$AZ$27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Water'!$AW$28:$AZ$28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AF-0F4C-916A-3ACD87099D00}"/>
            </c:ext>
          </c:extLst>
        </c:ser>
        <c:ser>
          <c:idx val="1"/>
          <c:order val="1"/>
          <c:tx>
            <c:strRef>
              <c:f>'Saturated Water'!$AV$29</c:f>
              <c:strCache>
                <c:ptCount val="1"/>
                <c:pt idx="0">
                  <c:v>err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25215085908617801"/>
                  <c:y val="0.10814325153225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Water'!$AW$27:$AZ$27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Water'!$AW$29:$AZ$29</c:f>
              <c:numCache>
                <c:formatCode>General</c:formatCode>
                <c:ptCount val="4"/>
                <c:pt idx="0">
                  <c:v>0.10028775820029041</c:v>
                </c:pt>
                <c:pt idx="1">
                  <c:v>0.44050417718726453</c:v>
                </c:pt>
                <c:pt idx="2">
                  <c:v>1.1643004747671868</c:v>
                </c:pt>
                <c:pt idx="3">
                  <c:v>2.6214475069335719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AF-0F4C-916A-3ACD87099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14525440"/>
        <c:axId val="-1711957280"/>
      </c:scatterChart>
      <c:valAx>
        <c:axId val="-171452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1957280"/>
        <c:crosses val="autoZero"/>
        <c:crossBetween val="midCat"/>
      </c:valAx>
      <c:valAx>
        <c:axId val="-171195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4525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Water'!$BB$28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Water'!$BC$27:$BF$27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Water'!$BC$28:$BF$28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C1-7B4C-957C-487A619E3BD8}"/>
            </c:ext>
          </c:extLst>
        </c:ser>
        <c:ser>
          <c:idx val="1"/>
          <c:order val="1"/>
          <c:tx>
            <c:strRef>
              <c:f>'Saturated Water'!$BB$29</c:f>
              <c:strCache>
                <c:ptCount val="1"/>
                <c:pt idx="0">
                  <c:v>z err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Water'!$BC$27:$BF$27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Water'!$BC$29:$BF$29</c:f>
              <c:numCache>
                <c:formatCode>General</c:formatCode>
                <c:ptCount val="4"/>
                <c:pt idx="0">
                  <c:v>2.6117794886750959E-3</c:v>
                </c:pt>
                <c:pt idx="1">
                  <c:v>1.0503398764952012E-2</c:v>
                </c:pt>
                <c:pt idx="2">
                  <c:v>2.3840646657392075E-2</c:v>
                </c:pt>
                <c:pt idx="3">
                  <c:v>4.2914992403082705E-2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C1-7B4C-957C-487A619E3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2372224"/>
        <c:axId val="-1661140752"/>
      </c:scatterChart>
      <c:valAx>
        <c:axId val="-166237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1140752"/>
        <c:crosses val="autoZero"/>
        <c:crossBetween val="midCat"/>
      </c:valAx>
      <c:valAx>
        <c:axId val="-166114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2372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Water'!$BI$28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Water'!$BJ$27:$BM$27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Water'!$BJ$28:$BM$28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42-744F-9103-A2B135FB13F4}"/>
            </c:ext>
          </c:extLst>
        </c:ser>
        <c:ser>
          <c:idx val="1"/>
          <c:order val="1"/>
          <c:tx>
            <c:strRef>
              <c:f>'Saturated Water'!$BI$29</c:f>
              <c:strCache>
                <c:ptCount val="1"/>
                <c:pt idx="0">
                  <c:v>z err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1751509186351701"/>
                  <c:y val="0.1014351851851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Water'!$BJ$27:$BM$27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Water'!$BJ$29:$BM$29</c:f>
              <c:numCache>
                <c:formatCode>General</c:formatCode>
                <c:ptCount val="4"/>
                <c:pt idx="0">
                  <c:v>2.6287712123724263E-3</c:v>
                </c:pt>
                <c:pt idx="1">
                  <c:v>1.0587140982569371E-2</c:v>
                </c:pt>
                <c:pt idx="2">
                  <c:v>2.409474491802881E-2</c:v>
                </c:pt>
                <c:pt idx="3">
                  <c:v>4.3529331598183695E-2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42-744F-9103-A2B135FB1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13354736"/>
        <c:axId val="-1667475760"/>
      </c:scatterChart>
      <c:valAx>
        <c:axId val="-171335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7475760"/>
        <c:crosses val="autoZero"/>
        <c:crossBetween val="midCat"/>
      </c:valAx>
      <c:valAx>
        <c:axId val="-166747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335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056953770349303E-2"/>
          <c:y val="2.4968789013732801E-2"/>
          <c:w val="0.92504734070817796"/>
          <c:h val="0.908368869621633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Sheet1!$G$73</c:f>
              <c:strCache>
                <c:ptCount val="1"/>
                <c:pt idx="0">
                  <c:v>C value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Sheet1!$H$72:$Q$72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Sheet1!$H$73:$Q$73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E5-1B43-A932-94EF9813E5AA}"/>
            </c:ext>
          </c:extLst>
        </c:ser>
        <c:ser>
          <c:idx val="1"/>
          <c:order val="1"/>
          <c:tx>
            <c:strRef>
              <c:f>Sheet1!$G$77</c:f>
              <c:strCache>
                <c:ptCount val="1"/>
                <c:pt idx="0">
                  <c:v>C160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Sheet1!$H$76:$Q$76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Sheet1!$H$77:$Q$77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E5-1B43-A932-94EF9813E5AA}"/>
            </c:ext>
          </c:extLst>
        </c:ser>
        <c:ser>
          <c:idx val="2"/>
          <c:order val="2"/>
          <c:tx>
            <c:strRef>
              <c:f>Sheet1!$G$81</c:f>
              <c:strCache>
                <c:ptCount val="1"/>
                <c:pt idx="0">
                  <c:v>C170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Sheet1!$H$80:$Q$80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Sheet1!$H$81:$Q$81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E5-1B43-A932-94EF9813E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275952"/>
        <c:axId val="-1723271376"/>
      </c:scatterChart>
      <c:valAx>
        <c:axId val="-1723275952"/>
        <c:scaling>
          <c:orientation val="minMax"/>
          <c:max val="270"/>
          <c:min val="1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271376"/>
        <c:crosses val="autoZero"/>
        <c:crossBetween val="midCat"/>
      </c:valAx>
      <c:valAx>
        <c:axId val="-1723271376"/>
        <c:scaling>
          <c:orientation val="minMax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275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'Turbine Calcs'!$K$3</c:f>
              <c:strCache>
                <c:ptCount val="1"/>
                <c:pt idx="0">
                  <c:v>Hout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8839932012903675"/>
                  <c:y val="0.14373158756137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'Turbine Calcs'!$I$4:$I$6</c:f>
              <c:numCache>
                <c:formatCode>General</c:formatCode>
                <c:ptCount val="3"/>
                <c:pt idx="0">
                  <c:v>3210.8652465749419</c:v>
                </c:pt>
                <c:pt idx="1">
                  <c:v>3162.8014962283396</c:v>
                </c:pt>
                <c:pt idx="2">
                  <c:v>3113.6926228164157</c:v>
                </c:pt>
              </c:numCache>
            </c:numRef>
          </c:xVal>
          <c:yVal>
            <c:numRef>
              <c:f>'Turbine Calcs'!$K$4:$K$6</c:f>
              <c:numCache>
                <c:formatCode>General</c:formatCode>
                <c:ptCount val="3"/>
                <c:pt idx="0">
                  <c:v>3050.1150854583907</c:v>
                </c:pt>
                <c:pt idx="1">
                  <c:v>3007.4042303026663</c:v>
                </c:pt>
                <c:pt idx="2">
                  <c:v>2963.4758002863832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B3-964D-99BB-5B92ECC0E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070319"/>
        <c:axId val="2130053743"/>
      </c:scatterChart>
      <c:scatterChart>
        <c:scatterStyle val="lineMarker"/>
        <c:varyColors val="0"/>
        <c:ser>
          <c:idx val="0"/>
          <c:order val="1"/>
          <c:tx>
            <c:strRef>
              <c:f>'Turbine Calcs'!$M$3</c:f>
              <c:strCache>
                <c:ptCount val="1"/>
                <c:pt idx="0">
                  <c:v>DH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003905789309376"/>
                  <c:y val="0.444456873332731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'Turbine Calcs'!$I$4:$I$6</c:f>
              <c:numCache>
                <c:formatCode>General</c:formatCode>
                <c:ptCount val="3"/>
                <c:pt idx="0">
                  <c:v>3210.8652465749419</c:v>
                </c:pt>
                <c:pt idx="1">
                  <c:v>3162.8014962283396</c:v>
                </c:pt>
                <c:pt idx="2">
                  <c:v>3113.6926228164157</c:v>
                </c:pt>
              </c:numCache>
            </c:numRef>
          </c:xVal>
          <c:yVal>
            <c:numRef>
              <c:f>'Turbine Calcs'!$M$4:$M$6</c:f>
              <c:numCache>
                <c:formatCode>General</c:formatCode>
                <c:ptCount val="3"/>
                <c:pt idx="0">
                  <c:v>160.75016111655123</c:v>
                </c:pt>
                <c:pt idx="1">
                  <c:v>155.39726592567331</c:v>
                </c:pt>
                <c:pt idx="2">
                  <c:v>150.21682253003246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D7-D347-A613-B22C204D0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1159440"/>
        <c:axId val="1341227280"/>
      </c:scatterChart>
      <c:valAx>
        <c:axId val="2130070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53743"/>
        <c:crosses val="autoZero"/>
        <c:crossBetween val="midCat"/>
      </c:valAx>
      <c:valAx>
        <c:axId val="213005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70319"/>
        <c:crosses val="autoZero"/>
        <c:crossBetween val="midCat"/>
      </c:valAx>
      <c:valAx>
        <c:axId val="1341227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159440"/>
        <c:crosses val="max"/>
        <c:crossBetween val="midCat"/>
      </c:valAx>
      <c:valAx>
        <c:axId val="1341159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1227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dHout/deffic</a:t>
            </a:r>
            <a:r>
              <a:rPr lang="en-US" baseline="0"/>
              <a:t> over a range of turbine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'Turbine Calcs'!$E$9</c:f>
              <c:strCache>
                <c:ptCount val="1"/>
                <c:pt idx="0">
                  <c:v>slope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4404243219597549"/>
                  <c:y val="8.28014727325750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'Turbine Calcs'!$D$10:$D$14</c:f>
              <c:numCache>
                <c:formatCode>0%</c:formatCode>
                <c:ptCount val="5"/>
                <c:pt idx="0">
                  <c:v>1</c:v>
                </c:pt>
                <c:pt idx="1">
                  <c:v>0.8</c:v>
                </c:pt>
                <c:pt idx="2">
                  <c:v>0.5</c:v>
                </c:pt>
                <c:pt idx="3">
                  <c:v>0.3</c:v>
                </c:pt>
                <c:pt idx="4">
                  <c:v>0.01</c:v>
                </c:pt>
              </c:numCache>
            </c:numRef>
          </c:xVal>
          <c:yVal>
            <c:numRef>
              <c:f>'Turbine Calcs'!$E$10:$E$14</c:f>
              <c:numCache>
                <c:formatCode>General</c:formatCode>
                <c:ptCount val="5"/>
                <c:pt idx="0">
                  <c:v>0.63</c:v>
                </c:pt>
                <c:pt idx="1">
                  <c:v>0.71</c:v>
                </c:pt>
                <c:pt idx="2">
                  <c:v>0.82</c:v>
                </c:pt>
                <c:pt idx="3">
                  <c:v>0.89</c:v>
                </c:pt>
                <c:pt idx="4">
                  <c:v>0.996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D9-AF4F-A190-2C323341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8944"/>
        <c:axId val="53699712"/>
      </c:scatterChart>
      <c:valAx>
        <c:axId val="5669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99712"/>
        <c:crosses val="autoZero"/>
        <c:crossBetween val="midCat"/>
      </c:valAx>
      <c:valAx>
        <c:axId val="5369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8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Ledinegg</a:t>
            </a:r>
            <a:r>
              <a:rPr lang="en-US" baseline="0"/>
              <a:t> instability?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Supply 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Sheet3!$U$7:$U$37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8A-FF41-893C-86749F7B9DE4}"/>
            </c:ext>
          </c:extLst>
        </c:ser>
        <c:ser>
          <c:idx val="2"/>
          <c:order val="2"/>
          <c:tx>
            <c:v>backpressure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Sheet3!$V$7:$V$37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8A-FF41-893C-86749F7B9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652368"/>
        <c:axId val="-1736647568"/>
      </c:scatterChart>
      <c:scatterChart>
        <c:scatterStyle val="smoothMarker"/>
        <c:varyColors val="0"/>
        <c:ser>
          <c:idx val="1"/>
          <c:order val="1"/>
          <c:tx>
            <c:v>Quality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Sheet3!$W$7:$W$37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8A-FF41-893C-86749F7B9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638592"/>
        <c:axId val="-1736642928"/>
      </c:scatterChart>
      <c:valAx>
        <c:axId val="-173665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47568"/>
        <c:crosses val="autoZero"/>
        <c:crossBetween val="midCat"/>
      </c:valAx>
      <c:valAx>
        <c:axId val="-1736647568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52368"/>
        <c:crosses val="autoZero"/>
        <c:crossBetween val="midCat"/>
      </c:valAx>
      <c:valAx>
        <c:axId val="-173664292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38592"/>
        <c:crosses val="max"/>
        <c:crossBetween val="midCat"/>
      </c:valAx>
      <c:valAx>
        <c:axId val="-173663859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-1736642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Sheet4!$AD$21</c:f>
              <c:strCache>
                <c:ptCount val="1"/>
                <c:pt idx="0">
                  <c:v>t1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Sheet4!$AC$22:$AC$62</c:f>
              <c:numCache>
                <c:formatCode>General</c:formatCode>
                <c:ptCount val="4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</c:numCache>
            </c:numRef>
          </c:xVal>
          <c:yVal>
            <c:numRef>
              <c:f>Sheet4!$AD$22:$AD$62</c:f>
              <c:numCache>
                <c:formatCode>General</c:formatCode>
                <c:ptCount val="41"/>
                <c:pt idx="0">
                  <c:v>-274.14999952316282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1B-F44E-8DE3-8408595E248D}"/>
            </c:ext>
          </c:extLst>
        </c:ser>
        <c:ser>
          <c:idx val="1"/>
          <c:order val="1"/>
          <c:tx>
            <c:strRef>
              <c:f>Sheet4!$AE$21</c:f>
              <c:strCache>
                <c:ptCount val="1"/>
                <c:pt idx="0">
                  <c:v>tt2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Sheet4!$AC$22:$AC$62</c:f>
              <c:numCache>
                <c:formatCode>General</c:formatCode>
                <c:ptCount val="4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</c:numCache>
            </c:numRef>
          </c:xVal>
          <c:yVal>
            <c:numRef>
              <c:f>Sheet4!$AE$22:$AE$62</c:f>
              <c:numCache>
                <c:formatCode>General</c:formatCode>
                <c:ptCount val="41"/>
                <c:pt idx="0">
                  <c:v>-274.14999952316282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1B-F44E-8DE3-8408595E2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569216"/>
        <c:axId val="-1736564848"/>
      </c:scatterChart>
      <c:valAx>
        <c:axId val="-173656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564848"/>
        <c:crosses val="autoZero"/>
        <c:crossBetween val="midCat"/>
      </c:valAx>
      <c:valAx>
        <c:axId val="-173656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569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Upstream 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VaryFire!$U$7:$U$17</c:f>
              <c:numCache>
                <c:formatCode>General</c:formatCode>
                <c:ptCount val="11"/>
                <c:pt idx="0">
                  <c:v>12262.415267546663</c:v>
                </c:pt>
                <c:pt idx="1">
                  <c:v>12378.166665600778</c:v>
                </c:pt>
                <c:pt idx="2">
                  <c:v>12484.536327478292</c:v>
                </c:pt>
                <c:pt idx="3">
                  <c:v>12584.445165518973</c:v>
                </c:pt>
                <c:pt idx="4">
                  <c:v>12675.375785852346</c:v>
                </c:pt>
                <c:pt idx="5">
                  <c:v>12757.294975056797</c:v>
                </c:pt>
                <c:pt idx="6">
                  <c:v>12830.175040230648</c:v>
                </c:pt>
                <c:pt idx="7">
                  <c:v>12892.983411790632</c:v>
                </c:pt>
                <c:pt idx="8">
                  <c:v>12945.51519576039</c:v>
                </c:pt>
                <c:pt idx="9">
                  <c:v>12988.373061161274</c:v>
                </c:pt>
                <c:pt idx="10">
                  <c:v>13018.581603811554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D-3545-86FB-A56DDCBF7226}"/>
            </c:ext>
          </c:extLst>
        </c:ser>
        <c:ser>
          <c:idx val="1"/>
          <c:order val="1"/>
          <c:tx>
            <c:v>Backpressure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VaryFire!$V$7:$V$17</c:f>
              <c:numCache>
                <c:formatCode>General</c:formatCode>
                <c:ptCount val="11"/>
                <c:pt idx="0">
                  <c:v>11864.559603376236</c:v>
                </c:pt>
                <c:pt idx="1">
                  <c:v>11980.343466136015</c:v>
                </c:pt>
                <c:pt idx="2">
                  <c:v>12086.742945287839</c:v>
                </c:pt>
                <c:pt idx="3">
                  <c:v>12186.679775456361</c:v>
                </c:pt>
                <c:pt idx="4">
                  <c:v>12277.635860600221</c:v>
                </c:pt>
                <c:pt idx="5">
                  <c:v>12359.577981351071</c:v>
                </c:pt>
                <c:pt idx="6">
                  <c:v>12432.478440082832</c:v>
                </c:pt>
                <c:pt idx="7">
                  <c:v>12495.304381109252</c:v>
                </c:pt>
                <c:pt idx="8">
                  <c:v>12547.850855745557</c:v>
                </c:pt>
                <c:pt idx="9">
                  <c:v>12590.72070369728</c:v>
                </c:pt>
                <c:pt idx="10">
                  <c:v>12620.937690799599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4D-3545-86FB-A56DDCBF7226}"/>
            </c:ext>
          </c:extLst>
        </c:ser>
        <c:ser>
          <c:idx val="3"/>
          <c:order val="3"/>
          <c:tx>
            <c:v>Holdup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VaryFire!$X$7:$X$17</c:f>
              <c:numCache>
                <c:formatCode>General</c:formatCode>
                <c:ptCount val="11"/>
                <c:pt idx="0">
                  <c:v>12303.002120594272</c:v>
                </c:pt>
                <c:pt idx="1">
                  <c:v>12018.480776649383</c:v>
                </c:pt>
                <c:pt idx="2">
                  <c:v>11758.57972848737</c:v>
                </c:pt>
                <c:pt idx="3">
                  <c:v>11502.723804619702</c:v>
                </c:pt>
                <c:pt idx="4">
                  <c:v>11258.330138134543</c:v>
                </c:pt>
                <c:pt idx="5">
                  <c:v>11024.983323771343</c:v>
                </c:pt>
                <c:pt idx="6">
                  <c:v>10795.948288375454</c:v>
                </c:pt>
                <c:pt idx="7">
                  <c:v>10577.684177301737</c:v>
                </c:pt>
                <c:pt idx="8">
                  <c:v>10364.92552860505</c:v>
                </c:pt>
                <c:pt idx="9">
                  <c:v>10156.113526119512</c:v>
                </c:pt>
                <c:pt idx="10">
                  <c:v>9961.844765210124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4D-3545-86FB-A56DDCBF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161808"/>
        <c:axId val="-1723157152"/>
      </c:scatterChart>
      <c:scatterChart>
        <c:scatterStyle val="lineMarker"/>
        <c:varyColors val="0"/>
        <c:ser>
          <c:idx val="2"/>
          <c:order val="2"/>
          <c:tx>
            <c:v>Quality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VaryFire!$W$7:$W$17</c:f>
              <c:numCache>
                <c:formatCode>General</c:formatCode>
                <c:ptCount val="11"/>
                <c:pt idx="0">
                  <c:v>0.54564645180793292</c:v>
                </c:pt>
                <c:pt idx="1">
                  <c:v>0.58427244248332055</c:v>
                </c:pt>
                <c:pt idx="2">
                  <c:v>0.62289843315870597</c:v>
                </c:pt>
                <c:pt idx="3">
                  <c:v>0.66152442383408983</c:v>
                </c:pt>
                <c:pt idx="4">
                  <c:v>0.70015041450947635</c:v>
                </c:pt>
                <c:pt idx="5">
                  <c:v>0.73877640518486176</c:v>
                </c:pt>
                <c:pt idx="6">
                  <c:v>0.77740239586024962</c:v>
                </c:pt>
                <c:pt idx="7">
                  <c:v>0.81602838653563237</c:v>
                </c:pt>
                <c:pt idx="8">
                  <c:v>0.85465437721101778</c:v>
                </c:pt>
                <c:pt idx="9">
                  <c:v>0.89328036788640564</c:v>
                </c:pt>
                <c:pt idx="10">
                  <c:v>0.93190635856179149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4D-3545-86FB-A56DDCBF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148096"/>
        <c:axId val="-1723152416"/>
      </c:scatterChart>
      <c:valAx>
        <c:axId val="-1723161808"/>
        <c:scaling>
          <c:orientation val="minMax"/>
          <c:max val="4000"/>
          <c:min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57152"/>
        <c:crosses val="autoZero"/>
        <c:crossBetween val="midCat"/>
      </c:valAx>
      <c:valAx>
        <c:axId val="-1723157152"/>
        <c:scaling>
          <c:orientation val="minMax"/>
          <c:min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61808"/>
        <c:crosses val="autoZero"/>
        <c:crossBetween val="midCat"/>
      </c:valAx>
      <c:valAx>
        <c:axId val="-17231524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48096"/>
        <c:crosses val="max"/>
        <c:crossBetween val="midCat"/>
      </c:valAx>
      <c:valAx>
        <c:axId val="-1723148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72315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1188571</xdr:colOff>
      <xdr:row>12</xdr:row>
      <xdr:rowOff>61631</xdr:rowOff>
    </xdr:from>
    <xdr:to>
      <xdr:col>26</xdr:col>
      <xdr:colOff>732118</xdr:colOff>
      <xdr:row>42</xdr:row>
      <xdr:rowOff>119528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313766</xdr:colOff>
      <xdr:row>1</xdr:row>
      <xdr:rowOff>100108</xdr:rowOff>
    </xdr:from>
    <xdr:to>
      <xdr:col>38</xdr:col>
      <xdr:colOff>179295</xdr:colOff>
      <xdr:row>18</xdr:row>
      <xdr:rowOff>49308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373530</xdr:colOff>
      <xdr:row>1</xdr:row>
      <xdr:rowOff>144929</xdr:rowOff>
    </xdr:from>
    <xdr:to>
      <xdr:col>44</xdr:col>
      <xdr:colOff>433295</xdr:colOff>
      <xdr:row>18</xdr:row>
      <xdr:rowOff>94129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418354</xdr:colOff>
      <xdr:row>39</xdr:row>
      <xdr:rowOff>100105</xdr:rowOff>
    </xdr:from>
    <xdr:to>
      <xdr:col>43</xdr:col>
      <xdr:colOff>627530</xdr:colOff>
      <xdr:row>62</xdr:row>
      <xdr:rowOff>29882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1</xdr:colOff>
      <xdr:row>35</xdr:row>
      <xdr:rowOff>115047</xdr:rowOff>
    </xdr:from>
    <xdr:to>
      <xdr:col>51</xdr:col>
      <xdr:colOff>522942</xdr:colOff>
      <xdr:row>52</xdr:row>
      <xdr:rowOff>64247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58</xdr:col>
      <xdr:colOff>291353</xdr:colOff>
      <xdr:row>4</xdr:row>
      <xdr:rowOff>40341</xdr:rowOff>
    </xdr:from>
    <xdr:to>
      <xdr:col>65</xdr:col>
      <xdr:colOff>156883</xdr:colOff>
      <xdr:row>19</xdr:row>
      <xdr:rowOff>318247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84</xdr:row>
      <xdr:rowOff>95250</xdr:rowOff>
    </xdr:from>
    <xdr:to>
      <xdr:col>13</xdr:col>
      <xdr:colOff>673100</xdr:colOff>
      <xdr:row>115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749300</xdr:colOff>
      <xdr:row>100</xdr:row>
      <xdr:rowOff>63500</xdr:rowOff>
    </xdr:from>
    <xdr:to>
      <xdr:col>11</xdr:col>
      <xdr:colOff>50800</xdr:colOff>
      <xdr:row>107</xdr:row>
      <xdr:rowOff>25400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527800" y="12446000"/>
          <a:ext cx="2603500" cy="1117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It looks like there is very little benefit for increasing the target quality in terms of getting more enthalpy into a CSS reservoir,</a:t>
          </a:r>
          <a:r>
            <a:rPr lang="en-US" sz="1100" baseline="0"/>
            <a:t> if erosion is a real concern.  If erosion is not a concern then we can reduce the total steam flow.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0.04448</cdr:x>
      <cdr:y>0.43321</cdr:y>
    </cdr:from>
    <cdr:to>
      <cdr:x>0.94325</cdr:x>
      <cdr:y>0.43321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68B47D91-4FF1-2347-AB44-9C030C26233C}"/>
            </a:ext>
          </a:extLst>
        </cdr:cNvPr>
        <cdr:cNvCxnSpPr/>
      </cdr:nvCxnSpPr>
      <cdr:spPr>
        <a:xfrm xmlns:a="http://schemas.openxmlformats.org/drawingml/2006/main">
          <a:off x="368300" y="2203450"/>
          <a:ext cx="74422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0.06748</cdr:x>
      <cdr:y>0.28839</cdr:y>
    </cdr:from>
    <cdr:to>
      <cdr:x>0.27607</cdr:x>
      <cdr:y>0.39076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558800" y="1466850"/>
          <a:ext cx="1727200" cy="520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Erosional limit (guess)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463550</xdr:colOff>
      <xdr:row>22</xdr:row>
      <xdr:rowOff>133350</xdr:rowOff>
    </xdr:from>
    <xdr:to>
      <xdr:col>18</xdr:col>
      <xdr:colOff>241300</xdr:colOff>
      <xdr:row>46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A6BBEF-0055-A04B-948B-777D588C4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177800</xdr:colOff>
      <xdr:row>14</xdr:row>
      <xdr:rowOff>31750</xdr:rowOff>
    </xdr:from>
    <xdr:to>
      <xdr:col>16</xdr:col>
      <xdr:colOff>431800</xdr:colOff>
      <xdr:row>34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DCEE65-9F02-064A-83FF-208B18C7F7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7132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349250</xdr:colOff>
      <xdr:row>21</xdr:row>
      <xdr:rowOff>82550</xdr:rowOff>
    </xdr:from>
    <xdr:to>
      <xdr:col>29</xdr:col>
      <xdr:colOff>266700</xdr:colOff>
      <xdr:row>59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514350</xdr:colOff>
      <xdr:row>19</xdr:row>
      <xdr:rowOff>158750</xdr:rowOff>
    </xdr:from>
    <xdr:to>
      <xdr:col>26</xdr:col>
      <xdr:colOff>292100</xdr:colOff>
      <xdr:row>47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M45"/>
  <sheetViews>
    <sheetView topLeftCell="C2" zoomScaleNormal="100" workbookViewId="0">
      <pane xSplit="4820" activePane="topRight"/>
      <selection activeCell="E24" sqref="A24:XFD35"/>
      <selection pane="topRight" activeCell="A22" sqref="A22:A32"/>
    </sheetView>
  </sheetViews>
  <sheetFormatPr baseColWidth="10" defaultColWidth="8.83203125" defaultRowHeight="13"/>
  <cols>
    <col min="1" max="1" width="38.6640625" customWidth="1"/>
    <col min="4" max="4" width="12.1640625" customWidth="1"/>
    <col min="5" max="5" width="10.6640625" customWidth="1"/>
    <col min="6" max="7" width="15.6640625" customWidth="1"/>
    <col min="9" max="9" width="12.33203125" customWidth="1"/>
    <col min="10" max="10" width="15.83203125" customWidth="1"/>
    <col min="11" max="11" width="13.33203125" customWidth="1"/>
    <col min="12" max="12" width="12.33203125" customWidth="1"/>
    <col min="13" max="13" width="13.5" customWidth="1"/>
    <col min="18" max="18" width="12.83203125" customWidth="1"/>
    <col min="19" max="19" width="23.1640625" customWidth="1"/>
    <col min="20" max="20" width="12.83203125" customWidth="1"/>
    <col min="22" max="22" width="10" customWidth="1"/>
    <col min="23" max="24" width="15.5" customWidth="1"/>
    <col min="25" max="25" width="9.5" bestFit="1" customWidth="1"/>
    <col min="26" max="26" width="11.5" bestFit="1" customWidth="1"/>
    <col min="27" max="29" width="10" bestFit="1" customWidth="1"/>
    <col min="31" max="31" width="9.83203125" bestFit="1" customWidth="1"/>
    <col min="42" max="42" width="12.1640625" bestFit="1" customWidth="1"/>
    <col min="43" max="43" width="11.5" bestFit="1" customWidth="1"/>
    <col min="44" max="46" width="9" bestFit="1" customWidth="1"/>
    <col min="48" max="52" width="13.6640625" bestFit="1" customWidth="1"/>
  </cols>
  <sheetData>
    <row r="1" spans="2:40">
      <c r="B1" s="17" t="s">
        <v>49</v>
      </c>
      <c r="C1" s="17"/>
    </row>
    <row r="2" spans="2:40">
      <c r="B2" s="55" t="s">
        <v>183</v>
      </c>
      <c r="C2" s="37"/>
    </row>
    <row r="3" spans="2:40">
      <c r="B3" s="1" t="s">
        <v>63</v>
      </c>
      <c r="C3" s="1"/>
      <c r="D3">
        <v>1</v>
      </c>
    </row>
    <row r="4" spans="2:40">
      <c r="B4" s="1"/>
      <c r="C4" s="1"/>
    </row>
    <row r="5" spans="2:40">
      <c r="B5" s="17" t="s">
        <v>0</v>
      </c>
      <c r="C5" s="17"/>
      <c r="F5" s="17" t="s">
        <v>51</v>
      </c>
    </row>
    <row r="6" spans="2:40">
      <c r="B6" t="s">
        <v>1</v>
      </c>
      <c r="D6" t="s">
        <v>2</v>
      </c>
      <c r="E6" s="25" t="s">
        <v>31</v>
      </c>
      <c r="F6" s="3">
        <v>273</v>
      </c>
      <c r="G6" s="3">
        <v>1073</v>
      </c>
      <c r="H6" t="s">
        <v>2</v>
      </c>
    </row>
    <row r="7" spans="2:40">
      <c r="B7" t="s">
        <v>3</v>
      </c>
      <c r="D7" t="s">
        <v>4</v>
      </c>
      <c r="E7" s="25" t="s">
        <v>32</v>
      </c>
      <c r="F7" s="3">
        <v>0</v>
      </c>
      <c r="G7" s="3">
        <v>1000</v>
      </c>
      <c r="H7" t="s">
        <v>4</v>
      </c>
    </row>
    <row r="8" spans="2:40">
      <c r="B8" t="s">
        <v>52</v>
      </c>
      <c r="D8" t="s">
        <v>5</v>
      </c>
    </row>
    <row r="10" spans="2:40">
      <c r="B10" s="17" t="s">
        <v>29</v>
      </c>
      <c r="C10" s="17"/>
      <c r="F10" s="17" t="s">
        <v>30</v>
      </c>
    </row>
    <row r="11" spans="2:40">
      <c r="B11" t="s">
        <v>17</v>
      </c>
      <c r="D11">
        <v>647.096</v>
      </c>
      <c r="E11" t="s">
        <v>2</v>
      </c>
      <c r="F11" t="s">
        <v>10</v>
      </c>
      <c r="G11">
        <v>18.015256999999998</v>
      </c>
      <c r="H11" t="s">
        <v>13</v>
      </c>
    </row>
    <row r="12" spans="2:40">
      <c r="D12">
        <f>D11-$G$13</f>
        <v>373.94600000000003</v>
      </c>
      <c r="E12" t="s">
        <v>6</v>
      </c>
      <c r="F12" t="s">
        <v>11</v>
      </c>
      <c r="G12">
        <v>8.3145100000000003</v>
      </c>
      <c r="H12" t="s">
        <v>12</v>
      </c>
    </row>
    <row r="13" spans="2:40">
      <c r="B13" t="s">
        <v>18</v>
      </c>
      <c r="D13">
        <v>220.64</v>
      </c>
      <c r="E13" t="s">
        <v>4</v>
      </c>
      <c r="F13" t="s">
        <v>16</v>
      </c>
      <c r="G13">
        <v>273.14999999999998</v>
      </c>
    </row>
    <row r="14" spans="2:40">
      <c r="B14" t="s">
        <v>19</v>
      </c>
      <c r="D14">
        <v>322</v>
      </c>
    </row>
    <row r="16" spans="2:40">
      <c r="B16" s="31" t="s">
        <v>48</v>
      </c>
      <c r="C16" s="31"/>
      <c r="D16" s="31"/>
      <c r="E16" s="31"/>
      <c r="AM16">
        <v>1.2</v>
      </c>
      <c r="AN16">
        <v>4</v>
      </c>
    </row>
    <row r="17" spans="1:65">
      <c r="B17" s="37" t="s">
        <v>69</v>
      </c>
      <c r="C17" s="37"/>
      <c r="D17" s="44">
        <v>96</v>
      </c>
    </row>
    <row r="18" spans="1:65">
      <c r="B18" s="17" t="s">
        <v>7</v>
      </c>
      <c r="C18" s="17"/>
    </row>
    <row r="20" spans="1:65" s="2" customFormat="1" ht="43" thickBot="1">
      <c r="A20" s="27" t="s">
        <v>68</v>
      </c>
      <c r="B20" s="27" t="s">
        <v>15</v>
      </c>
      <c r="C20" s="27" t="s">
        <v>70</v>
      </c>
      <c r="D20" s="27" t="s">
        <v>9</v>
      </c>
      <c r="E20" s="27" t="s">
        <v>8</v>
      </c>
      <c r="F20" s="27" t="s">
        <v>33</v>
      </c>
      <c r="G20" s="27" t="s">
        <v>34</v>
      </c>
      <c r="H20" s="27" t="s">
        <v>14</v>
      </c>
      <c r="I20" s="27" t="s">
        <v>35</v>
      </c>
      <c r="J20" s="27" t="s">
        <v>36</v>
      </c>
      <c r="K20" s="27" t="s">
        <v>37</v>
      </c>
      <c r="L20" s="27" t="s">
        <v>38</v>
      </c>
      <c r="M20" s="27" t="s">
        <v>39</v>
      </c>
      <c r="N20" s="27" t="s">
        <v>40</v>
      </c>
      <c r="O20" s="27" t="s">
        <v>41</v>
      </c>
      <c r="P20" s="27" t="s">
        <v>42</v>
      </c>
      <c r="Q20" s="27" t="s">
        <v>43</v>
      </c>
      <c r="R20" s="27" t="s">
        <v>61</v>
      </c>
      <c r="S20" s="27" t="s">
        <v>64</v>
      </c>
      <c r="T20" s="27" t="s">
        <v>65</v>
      </c>
      <c r="U20" s="27" t="s">
        <v>44</v>
      </c>
      <c r="V20" s="27" t="s">
        <v>45</v>
      </c>
      <c r="W20" s="27" t="s">
        <v>46</v>
      </c>
      <c r="X20" s="27" t="s">
        <v>47</v>
      </c>
      <c r="Y20" s="27" t="s">
        <v>67</v>
      </c>
      <c r="AB20" s="2" t="s">
        <v>15</v>
      </c>
      <c r="AC20" s="2" t="s">
        <v>8</v>
      </c>
      <c r="AD20" s="2" t="s">
        <v>184</v>
      </c>
      <c r="AE20" s="2" t="s">
        <v>185</v>
      </c>
      <c r="AF20" s="2" t="s">
        <v>186</v>
      </c>
      <c r="AG20" s="2" t="s">
        <v>14</v>
      </c>
      <c r="AH20" s="2" t="s">
        <v>191</v>
      </c>
      <c r="AJ20" s="2" t="s">
        <v>2</v>
      </c>
      <c r="AK20" s="2" t="s">
        <v>14</v>
      </c>
      <c r="AL20" s="2" t="s">
        <v>191</v>
      </c>
      <c r="AM20" s="2" t="s">
        <v>188</v>
      </c>
      <c r="AN20" s="2" t="s">
        <v>189</v>
      </c>
      <c r="AP20" s="2">
        <f t="array" ref="AP20:AT28">LINEST(AN21:AN32,AM21:AM32,TRUE,TRUE)</f>
        <v>-3.5413997956709191</v>
      </c>
      <c r="AQ20" s="2">
        <v>2.0827891027322583</v>
      </c>
      <c r="AR20" s="2" t="e">
        <v>#N/A</v>
      </c>
      <c r="AS20" s="2" t="e">
        <v>#N/A</v>
      </c>
      <c r="AT20" s="2" t="e">
        <v>#N/A</v>
      </c>
      <c r="AW20" s="2" t="s">
        <v>190</v>
      </c>
      <c r="BC20" s="2" t="s">
        <v>195</v>
      </c>
      <c r="BJ20" s="2" t="s">
        <v>198</v>
      </c>
      <c r="BK20" s="2" t="s">
        <v>199</v>
      </c>
    </row>
    <row r="21" spans="1:65">
      <c r="A21" s="38"/>
      <c r="B21" s="42">
        <v>100</v>
      </c>
      <c r="C21" s="48">
        <f>D21*100-$D$17</f>
        <v>5.4179779213101256</v>
      </c>
      <c r="D21" s="12">
        <f t="shared" ref="D21:D22" si="0">pSatW(E21)</f>
        <v>1.0141797792131013</v>
      </c>
      <c r="E21" s="11">
        <f t="shared" ref="E21:E22" si="1">B21+$G$13</f>
        <v>373.15</v>
      </c>
      <c r="F21" s="13">
        <f t="shared" ref="F21:F22" si="2">denssatliqTW(E21)</f>
        <v>958.35427728588991</v>
      </c>
      <c r="G21" s="14">
        <f t="shared" ref="G21:G22" si="3">denssatvapTW(E21)</f>
        <v>0.59813599252570304</v>
      </c>
      <c r="H21" s="15">
        <f t="shared" ref="H21:H22" si="4">D21*100*$G$11/($G$12*E21)/G21</f>
        <v>0.98454453701275513</v>
      </c>
      <c r="I21" s="13">
        <f t="shared" ref="I21:I32" si="5">enthalpysatliqTW($E21)</f>
        <v>419.09915499770312</v>
      </c>
      <c r="J21" s="13">
        <f t="shared" ref="J21:J22" si="6">K21-I21</f>
        <v>2256.4728742231314</v>
      </c>
      <c r="K21" s="13">
        <f t="shared" ref="K21:K32" si="7">enthalpysatvapTW($E21)</f>
        <v>2675.5720292208343</v>
      </c>
      <c r="L21" s="11">
        <f t="shared" ref="L21:L32" si="8">entropysatliqTW($E21)</f>
        <v>1.3070143278413395</v>
      </c>
      <c r="M21" s="14">
        <f t="shared" ref="M21:M32" si="9">entropysatvapTW($E21)</f>
        <v>7.3540770509584057</v>
      </c>
      <c r="N21" s="15">
        <f t="shared" ref="N21:N32" si="10">cpsatliqTW($E21)</f>
        <v>4.2166451189235854</v>
      </c>
      <c r="O21" s="15">
        <f t="shared" ref="O21:O32" si="11">cpsatvapTW($E21)</f>
        <v>2.0774918684822659</v>
      </c>
      <c r="P21" s="15">
        <f t="shared" ref="P21:P32" si="12">cvsatliqTW($E21)</f>
        <v>3.7677002201427512</v>
      </c>
      <c r="Q21" s="15">
        <f t="shared" ref="Q21:Q32" si="13">cvsatvapTW($E21)</f>
        <v>1.5536986960345105</v>
      </c>
      <c r="R21" s="15">
        <f t="shared" ref="R21:R22" si="14">isentropic_coeffsatvaptW(E21)</f>
        <v>1.3153455644817036</v>
      </c>
      <c r="S21" s="15">
        <f t="shared" ref="S21:S22" si="15">spsoundSatLiqTW(E21)</f>
        <v>1545.0922491938707</v>
      </c>
      <c r="T21" s="15">
        <f t="shared" ref="T21:T22" si="16">spsoundSatVapTW(E21)</f>
        <v>472.2559492389438</v>
      </c>
      <c r="U21" s="11">
        <f t="shared" ref="U21:U32" si="17">viscsatliqTW($E21)</f>
        <v>2.8174528145290067E-4</v>
      </c>
      <c r="V21" s="16">
        <f t="shared" ref="V21:V32" si="18">viscsatvapTW($E21)</f>
        <v>1.226922918387594E-5</v>
      </c>
      <c r="W21" s="15">
        <f t="shared" ref="W21:W32" si="19">thconsatliqTW($E21)</f>
        <v>0.67909813753563253</v>
      </c>
      <c r="X21" s="14">
        <f t="shared" ref="X21:X32" si="20">thconsatvapTW($E21)</f>
        <v>2.5096236521560497E-2</v>
      </c>
      <c r="Y21" s="36">
        <f t="shared" ref="Y21:Y22" si="21">watSurfTens(E21)</f>
        <v>58.911201750271488</v>
      </c>
      <c r="AB21" s="66">
        <f>B21</f>
        <v>100</v>
      </c>
      <c r="AC21">
        <f>E21</f>
        <v>373.15</v>
      </c>
      <c r="AD21">
        <f>1/AC21</f>
        <v>2.6798874447273215E-3</v>
      </c>
      <c r="AE21" s="67">
        <f>D21*100</f>
        <v>101.41797792131013</v>
      </c>
      <c r="AF21">
        <f>LN(AE21)</f>
        <v>4.6192503724961584</v>
      </c>
      <c r="AG21" s="68">
        <f>H21</f>
        <v>0.98454453701275513</v>
      </c>
      <c r="AH21">
        <f>1/G21</f>
        <v>1.6718606010940364</v>
      </c>
      <c r="AJ21">
        <f t="shared" ref="AJ21:AJ32" si="22">AC21</f>
        <v>373.15</v>
      </c>
      <c r="AK21" s="68">
        <f>AG21</f>
        <v>0.98454453701275513</v>
      </c>
      <c r="AL21">
        <f>1/AH21</f>
        <v>0.59813599252570304</v>
      </c>
      <c r="AM21">
        <f t="shared" ref="AM21:AM32" si="23">(AJ21/1000)^AM$16</f>
        <v>0.30637980480900956</v>
      </c>
      <c r="AN21">
        <f>(AK21/1)^AN$16</f>
        <v>0.93959666565905797</v>
      </c>
      <c r="AP21">
        <v>0.11981716016057817</v>
      </c>
      <c r="AQ21">
        <v>5.0902191703444233E-2</v>
      </c>
      <c r="AR21" t="e">
        <v>#N/A</v>
      </c>
      <c r="AS21" t="e">
        <v>#N/A</v>
      </c>
      <c r="AT21" t="e">
        <v>#N/A</v>
      </c>
    </row>
    <row r="22" spans="1:65">
      <c r="A22" s="71"/>
      <c r="B22" s="42">
        <f>B21+20</f>
        <v>120</v>
      </c>
      <c r="C22" s="48">
        <f t="shared" ref="C22" si="24">D22*100-$D$17</f>
        <v>102.66539973930202</v>
      </c>
      <c r="D22" s="12">
        <f t="shared" si="0"/>
        <v>1.9866539973930202</v>
      </c>
      <c r="E22" s="11">
        <f t="shared" si="1"/>
        <v>393.15</v>
      </c>
      <c r="F22" s="13">
        <f t="shared" si="2"/>
        <v>943.10567745835397</v>
      </c>
      <c r="G22" s="14">
        <f t="shared" si="3"/>
        <v>1.1219517174818006</v>
      </c>
      <c r="H22" s="15">
        <f t="shared" si="4"/>
        <v>0.97587364590345027</v>
      </c>
      <c r="I22" s="13">
        <f t="shared" si="5"/>
        <v>503.78456710703358</v>
      </c>
      <c r="J22" s="13">
        <f t="shared" si="6"/>
        <v>2202.1496803099253</v>
      </c>
      <c r="K22" s="13">
        <f t="shared" si="7"/>
        <v>2705.9342474169589</v>
      </c>
      <c r="L22" s="11">
        <f t="shared" si="8"/>
        <v>1.5278150478467181</v>
      </c>
      <c r="M22" s="14">
        <f t="shared" si="9"/>
        <v>7.129090856936422</v>
      </c>
      <c r="N22" s="15">
        <f t="shared" si="10"/>
        <v>4.246370718421109</v>
      </c>
      <c r="O22" s="15">
        <f t="shared" si="11"/>
        <v>2.1739988465876281</v>
      </c>
      <c r="P22" s="15">
        <f t="shared" si="12"/>
        <v>3.6680275352156451</v>
      </c>
      <c r="Q22" s="15">
        <f t="shared" si="13"/>
        <v>1.6151917316408877</v>
      </c>
      <c r="R22" s="15">
        <f t="shared" si="14"/>
        <v>1.3108963699086105</v>
      </c>
      <c r="S22" s="15">
        <f t="shared" si="15"/>
        <v>1521.0037288196245</v>
      </c>
      <c r="T22" s="15">
        <f t="shared" si="16"/>
        <v>481.79048003375914</v>
      </c>
      <c r="U22" s="11">
        <f t="shared" si="17"/>
        <v>2.3205136233002196E-4</v>
      </c>
      <c r="V22" s="16">
        <f t="shared" si="18"/>
        <v>1.2956144834610645E-5</v>
      </c>
      <c r="W22" s="15">
        <f t="shared" si="19"/>
        <v>0.68318692363750311</v>
      </c>
      <c r="X22" s="14">
        <f t="shared" si="20"/>
        <v>2.7466380950566534E-2</v>
      </c>
      <c r="Y22" s="36">
        <f t="shared" si="21"/>
        <v>54.967424926605887</v>
      </c>
      <c r="AB22" s="66">
        <f t="shared" ref="AB22:AB32" si="25">B22</f>
        <v>120</v>
      </c>
      <c r="AC22">
        <f t="shared" ref="AC22:AC32" si="26">E22</f>
        <v>393.15</v>
      </c>
      <c r="AD22">
        <f t="shared" ref="AD22:AD32" si="27">1/AC22</f>
        <v>2.5435584382551188E-3</v>
      </c>
      <c r="AE22" s="67">
        <f t="shared" ref="AE22:AE32" si="28">D22*100</f>
        <v>198.66539973930202</v>
      </c>
      <c r="AF22">
        <f t="shared" ref="AF22:AF32" si="29">LN(AE22)</f>
        <v>5.2916220012257416</v>
      </c>
      <c r="AG22" s="68">
        <f t="shared" ref="AG22:AG32" si="30">H22</f>
        <v>0.97587364590345027</v>
      </c>
      <c r="AH22">
        <f t="shared" ref="AH22:AH32" si="31">1/G22</f>
        <v>0.89130395222753533</v>
      </c>
      <c r="AJ22">
        <f t="shared" si="22"/>
        <v>393.15</v>
      </c>
      <c r="AK22" s="68">
        <f t="shared" ref="AK22:AK32" si="32">AG22</f>
        <v>0.97587364590345027</v>
      </c>
      <c r="AL22">
        <f t="shared" ref="AL22:AL32" si="33">1/AH22</f>
        <v>1.1219517174818006</v>
      </c>
      <c r="AM22">
        <f t="shared" si="23"/>
        <v>0.32618946917540775</v>
      </c>
      <c r="AN22">
        <f t="shared" ref="AN22:AN32" si="34">(AK22/1)^AN$16</f>
        <v>0.90693123423839239</v>
      </c>
      <c r="AP22">
        <v>0.98868264242421233</v>
      </c>
      <c r="AQ22">
        <v>2.970457732026385E-2</v>
      </c>
      <c r="AR22" t="e">
        <v>#N/A</v>
      </c>
      <c r="AS22" t="e">
        <v>#N/A</v>
      </c>
      <c r="AT22" t="e">
        <v>#N/A</v>
      </c>
      <c r="AV22" s="70">
        <f>AV24/$E$26</f>
        <v>2.6888369733942148E-4</v>
      </c>
      <c r="AW22" s="70">
        <f t="shared" ref="AW22:AZ22" si="35">AW24/$E$26</f>
        <v>2.958494405621975E-4</v>
      </c>
      <c r="AX22" s="70">
        <f t="shared" si="35"/>
        <v>3.8732808919499285E-4</v>
      </c>
      <c r="AY22" s="70">
        <f t="shared" si="35"/>
        <v>5.8194511380886646E-4</v>
      </c>
      <c r="AZ22" s="70">
        <f t="shared" si="35"/>
        <v>9.7374819538492902E-4</v>
      </c>
      <c r="BB22" s="69">
        <f>BB24*8314/BI24</f>
        <v>4.8437117861897638</v>
      </c>
      <c r="BC22" s="69">
        <f t="shared" ref="BC22:BF22" si="36">BC24*8314/BJ24</f>
        <v>4.9252991815457543</v>
      </c>
      <c r="BD22" s="69">
        <f t="shared" si="36"/>
        <v>5.1806342173504962</v>
      </c>
      <c r="BE22" s="69">
        <f t="shared" si="36"/>
        <v>5.6441784315983385</v>
      </c>
      <c r="BF22" s="69">
        <f t="shared" si="36"/>
        <v>6.383497723312253</v>
      </c>
    </row>
    <row r="23" spans="1:65">
      <c r="A23" s="71"/>
      <c r="B23" s="42">
        <f t="shared" ref="B23:B32" si="37">B22+20</f>
        <v>140</v>
      </c>
      <c r="C23" s="48">
        <f t="shared" ref="C23" si="38">D23*100-$D$17</f>
        <v>265.5009619848488</v>
      </c>
      <c r="D23" s="12">
        <f t="shared" ref="D23" si="39">pSatW(E23)</f>
        <v>3.6150096198484878</v>
      </c>
      <c r="E23" s="11">
        <f t="shared" ref="E23" si="40">B23+$G$13</f>
        <v>413.15</v>
      </c>
      <c r="F23" s="13">
        <f t="shared" ref="F23" si="41">denssatliqTW(E23)</f>
        <v>926.1320520251254</v>
      </c>
      <c r="G23" s="14">
        <f t="shared" ref="G23" si="42">denssatvapTW(E23)</f>
        <v>1.9664941863081919</v>
      </c>
      <c r="H23" s="15">
        <f t="shared" ref="H23" si="43">D23*100*$G$11/($G$12*E23)/G23</f>
        <v>0.96407947169161479</v>
      </c>
      <c r="I23" s="13">
        <f t="shared" si="5"/>
        <v>589.20025964363992</v>
      </c>
      <c r="J23" s="13">
        <f t="shared" ref="J23" si="44">K23-I23</f>
        <v>2144.2436840644737</v>
      </c>
      <c r="K23" s="13">
        <f t="shared" si="7"/>
        <v>2733.4439437081137</v>
      </c>
      <c r="L23" s="11">
        <f t="shared" si="8"/>
        <v>1.7392890660109213</v>
      </c>
      <c r="M23" s="14">
        <f t="shared" si="9"/>
        <v>6.9292723061369559</v>
      </c>
      <c r="N23" s="15">
        <f t="shared" si="10"/>
        <v>4.286040773304153</v>
      </c>
      <c r="O23" s="15">
        <f t="shared" si="11"/>
        <v>2.310921976701692</v>
      </c>
      <c r="P23" s="15">
        <f t="shared" si="12"/>
        <v>3.5724722780246752</v>
      </c>
      <c r="Q23" s="15">
        <f t="shared" si="13"/>
        <v>1.7001024352707745</v>
      </c>
      <c r="R23" s="15">
        <f t="shared" ref="R23" si="45">isentropic_coeffsatvaptW(E23)</f>
        <v>1.3050950921763769</v>
      </c>
      <c r="S23" s="15">
        <f t="shared" ref="S23" si="46">spsoundSatLiqTW(E23)</f>
        <v>1486.6291470916062</v>
      </c>
      <c r="T23" s="15">
        <f t="shared" ref="T23" si="47">spsoundSatVapTW(E23)</f>
        <v>489.81205946558111</v>
      </c>
      <c r="U23" s="11">
        <f t="shared" si="17"/>
        <v>1.9654049557010642E-4</v>
      </c>
      <c r="V23" s="16">
        <f t="shared" si="18"/>
        <v>1.3646655358013999E-5</v>
      </c>
      <c r="W23" s="15">
        <f t="shared" si="19"/>
        <v>0.68329703981781331</v>
      </c>
      <c r="X23" s="14">
        <f t="shared" si="20"/>
        <v>3.0140062262958751E-2</v>
      </c>
      <c r="Y23" s="36">
        <f t="shared" ref="Y23" si="48">watSurfTens(E23)</f>
        <v>50.855065824573941</v>
      </c>
      <c r="AB23" s="66">
        <f t="shared" si="25"/>
        <v>140</v>
      </c>
      <c r="AC23">
        <f t="shared" si="26"/>
        <v>413.15</v>
      </c>
      <c r="AD23">
        <f t="shared" si="27"/>
        <v>2.4204284158296022E-3</v>
      </c>
      <c r="AE23" s="67">
        <f t="shared" si="28"/>
        <v>361.5009619848488</v>
      </c>
      <c r="AF23">
        <f t="shared" si="29"/>
        <v>5.8902647026875297</v>
      </c>
      <c r="AG23" s="68">
        <f t="shared" si="30"/>
        <v>0.96407947169161479</v>
      </c>
      <c r="AH23">
        <f t="shared" si="31"/>
        <v>0.50851917435736493</v>
      </c>
      <c r="AJ23">
        <f t="shared" si="22"/>
        <v>413.15</v>
      </c>
      <c r="AK23" s="68">
        <f t="shared" si="32"/>
        <v>0.96407947169161479</v>
      </c>
      <c r="AL23">
        <f t="shared" si="33"/>
        <v>1.9664941863081919</v>
      </c>
      <c r="AM23">
        <f t="shared" si="23"/>
        <v>0.34620178959485409</v>
      </c>
      <c r="AN23">
        <f t="shared" si="34"/>
        <v>0.86387586694124607</v>
      </c>
      <c r="AP23">
        <v>873.59848427816269</v>
      </c>
      <c r="AQ23">
        <v>10</v>
      </c>
      <c r="AR23" t="e">
        <v>#N/A</v>
      </c>
      <c r="AS23" t="e">
        <v>#N/A</v>
      </c>
      <c r="AT23" t="e">
        <v>#N/A</v>
      </c>
    </row>
    <row r="24" spans="1:65">
      <c r="A24" s="71"/>
      <c r="B24" s="42">
        <f t="shared" si="37"/>
        <v>160</v>
      </c>
      <c r="C24" s="48">
        <f t="shared" ref="C24:C32" si="49">D24*100-$D$17</f>
        <v>522.13919672205463</v>
      </c>
      <c r="D24" s="12">
        <f t="shared" ref="D24:D32" si="50">pSatW(E24)</f>
        <v>6.1813919672205468</v>
      </c>
      <c r="E24" s="11">
        <f t="shared" ref="E24:E32" si="51">B24+$G$13</f>
        <v>433.15</v>
      </c>
      <c r="F24" s="13">
        <f t="shared" ref="F24:F32" si="52">denssatliqTW(E24)</f>
        <v>907.45051109040799</v>
      </c>
      <c r="G24" s="14">
        <f t="shared" ref="G24:G32" si="53">denssatvapTW(E24)</f>
        <v>3.259256437288756</v>
      </c>
      <c r="H24" s="15">
        <f t="shared" ref="H24:H32" si="54">D24*100*$G$11/($G$12*E24)/G24</f>
        <v>0.94870946792143118</v>
      </c>
      <c r="I24" s="13">
        <f t="shared" si="5"/>
        <v>675.57467986363372</v>
      </c>
      <c r="J24" s="13">
        <f t="shared" ref="J24:J32" si="55">K24-I24</f>
        <v>2081.8558511057063</v>
      </c>
      <c r="K24" s="13">
        <f t="shared" si="7"/>
        <v>2757.43053096934</v>
      </c>
      <c r="L24" s="11">
        <f t="shared" si="8"/>
        <v>1.9427785229410817</v>
      </c>
      <c r="M24" s="14">
        <f t="shared" si="9"/>
        <v>6.74910384530512</v>
      </c>
      <c r="N24" s="15">
        <f t="shared" si="10"/>
        <v>4.3379298470185104</v>
      </c>
      <c r="O24" s="15">
        <f t="shared" si="11"/>
        <v>2.4917721454091377</v>
      </c>
      <c r="P24" s="15">
        <f t="shared" si="12"/>
        <v>3.4816791349303475</v>
      </c>
      <c r="Q24" s="15">
        <f t="shared" si="13"/>
        <v>1.8072670813558434</v>
      </c>
      <c r="R24" s="15">
        <f t="shared" ref="R24:R32" si="56">isentropic_coeffsatvaptW(E24)</f>
        <v>1.2982409578234804</v>
      </c>
      <c r="S24" s="15">
        <f t="shared" ref="S24:S32" si="57">spsoundSatLiqTW(E24)</f>
        <v>1443.1691237026034</v>
      </c>
      <c r="T24" s="15">
        <f t="shared" ref="T24:T32" si="58">spsoundSatVapTW(E24)</f>
        <v>496.20544884101594</v>
      </c>
      <c r="U24" s="11">
        <f t="shared" si="17"/>
        <v>1.7023980785434555E-4</v>
      </c>
      <c r="V24" s="16">
        <f t="shared" si="18"/>
        <v>1.4336834876918734E-5</v>
      </c>
      <c r="W24" s="15">
        <f t="shared" si="19"/>
        <v>0.67995672761306036</v>
      </c>
      <c r="X24" s="14">
        <f t="shared" si="20"/>
        <v>3.3130291504425292E-2</v>
      </c>
      <c r="Y24" s="36">
        <f t="shared" ref="Y24:Y32" si="59">watSurfTens(E24)</f>
        <v>46.589820351333643</v>
      </c>
      <c r="AB24" s="66">
        <f t="shared" si="25"/>
        <v>160</v>
      </c>
      <c r="AC24">
        <f t="shared" si="26"/>
        <v>433.15</v>
      </c>
      <c r="AD24">
        <f t="shared" si="27"/>
        <v>2.3086690522913541E-3</v>
      </c>
      <c r="AE24" s="67">
        <f t="shared" si="28"/>
        <v>618.13919672205463</v>
      </c>
      <c r="AF24">
        <f t="shared" si="29"/>
        <v>6.4267136695098808</v>
      </c>
      <c r="AG24" s="68">
        <f t="shared" si="30"/>
        <v>0.94870946792143118</v>
      </c>
      <c r="AH24">
        <f t="shared" si="31"/>
        <v>0.30681844747136855</v>
      </c>
      <c r="AJ24">
        <f t="shared" si="22"/>
        <v>433.15</v>
      </c>
      <c r="AK24" s="68">
        <f t="shared" si="32"/>
        <v>0.94870946792143118</v>
      </c>
      <c r="AL24">
        <f t="shared" si="33"/>
        <v>3.259256437288756</v>
      </c>
      <c r="AM24">
        <f t="shared" si="23"/>
        <v>0.36640887336536071</v>
      </c>
      <c r="AN24">
        <f t="shared" si="34"/>
        <v>0.8100893806083489</v>
      </c>
      <c r="AP24">
        <v>0.77083003045908494</v>
      </c>
      <c r="AQ24">
        <v>8.8236191377553345E-3</v>
      </c>
      <c r="AR24" t="e">
        <v>#N/A</v>
      </c>
      <c r="AS24" t="e">
        <v>#N/A</v>
      </c>
      <c r="AT24" t="e">
        <v>#N/A</v>
      </c>
      <c r="AV24">
        <f>AV26</f>
        <v>0.12722232139614728</v>
      </c>
      <c r="AW24">
        <f t="shared" ref="AW24:AZ24" si="60">AW26</f>
        <v>0.13998116280200373</v>
      </c>
      <c r="AX24">
        <f t="shared" si="60"/>
        <v>0.18326428540261086</v>
      </c>
      <c r="AY24">
        <f t="shared" si="60"/>
        <v>0.27534733059866517</v>
      </c>
      <c r="AZ24">
        <f t="shared" si="60"/>
        <v>0.46072895864637914</v>
      </c>
      <c r="BB24" s="68">
        <f>BB26</f>
        <v>0.90574722780805983</v>
      </c>
      <c r="BC24" s="68">
        <f t="shared" ref="BC24:BF24" si="61">BC26</f>
        <v>0.90338161577654641</v>
      </c>
      <c r="BD24" s="68">
        <f t="shared" si="61"/>
        <v>0.89623380349414195</v>
      </c>
      <c r="BE24" s="68">
        <f t="shared" si="61"/>
        <v>0.88415362818897547</v>
      </c>
      <c r="BF24" s="68">
        <f t="shared" si="61"/>
        <v>0.86687709240756372</v>
      </c>
      <c r="BI24">
        <f>EXP(BI26)</f>
        <v>1554.6718682698245</v>
      </c>
      <c r="BJ24">
        <f t="shared" ref="BJ24:BM24" si="62">EXP(BJ26)</f>
        <v>1524.9255886236431</v>
      </c>
      <c r="BK24">
        <f t="shared" si="62"/>
        <v>1438.2964574675316</v>
      </c>
      <c r="BL24">
        <f t="shared" si="62"/>
        <v>1302.3779020893749</v>
      </c>
      <c r="BM24">
        <f t="shared" si="62"/>
        <v>1129.0387274606596</v>
      </c>
    </row>
    <row r="25" spans="1:65">
      <c r="A25" s="71"/>
      <c r="B25" s="42">
        <f t="shared" si="37"/>
        <v>180</v>
      </c>
      <c r="C25" s="48">
        <f t="shared" si="49"/>
        <v>906.63456881209572</v>
      </c>
      <c r="D25" s="12">
        <f t="shared" si="50"/>
        <v>10.026345688120957</v>
      </c>
      <c r="E25" s="11">
        <f t="shared" si="51"/>
        <v>453.15</v>
      </c>
      <c r="F25" s="13">
        <f t="shared" si="52"/>
        <v>887.00531730440309</v>
      </c>
      <c r="G25" s="14">
        <f t="shared" si="53"/>
        <v>5.1583189926911004</v>
      </c>
      <c r="H25" s="15">
        <f t="shared" si="54"/>
        <v>0.92938636408248865</v>
      </c>
      <c r="I25" s="13">
        <f t="shared" si="5"/>
        <v>763.18799818294519</v>
      </c>
      <c r="J25" s="13">
        <f t="shared" si="55"/>
        <v>2014.0314124989941</v>
      </c>
      <c r="K25" s="13">
        <f t="shared" si="7"/>
        <v>2777.2194106819393</v>
      </c>
      <c r="L25" s="11">
        <f t="shared" si="8"/>
        <v>2.1395396974716796</v>
      </c>
      <c r="M25" s="14">
        <f t="shared" si="9"/>
        <v>6.5840707716515707</v>
      </c>
      <c r="N25" s="15">
        <f t="shared" si="10"/>
        <v>4.4055522027922684</v>
      </c>
      <c r="O25" s="15">
        <f t="shared" si="11"/>
        <v>2.7163988208910079</v>
      </c>
      <c r="P25" s="15">
        <f t="shared" si="12"/>
        <v>3.3962763240368652</v>
      </c>
      <c r="Q25" s="15">
        <f t="shared" si="13"/>
        <v>1.9310840322276304</v>
      </c>
      <c r="R25" s="15">
        <f t="shared" si="56"/>
        <v>1.2909076950127834</v>
      </c>
      <c r="S25" s="15">
        <f t="shared" si="57"/>
        <v>1391.3192037896572</v>
      </c>
      <c r="T25" s="15">
        <f t="shared" si="58"/>
        <v>500.9159194384938</v>
      </c>
      <c r="U25" s="11">
        <f t="shared" si="17"/>
        <v>1.5013801728610364E-4</v>
      </c>
      <c r="V25" s="16">
        <f t="shared" si="18"/>
        <v>1.5025532694108372E-5</v>
      </c>
      <c r="W25" s="15">
        <f t="shared" si="19"/>
        <v>0.67332893972265229</v>
      </c>
      <c r="X25" s="14">
        <f t="shared" si="20"/>
        <v>3.644812399803074E-2</v>
      </c>
      <c r="Y25" s="36">
        <f t="shared" si="59"/>
        <v>42.18929778499384</v>
      </c>
      <c r="AB25" s="66">
        <f t="shared" si="25"/>
        <v>180</v>
      </c>
      <c r="AC25">
        <f t="shared" si="26"/>
        <v>453.15</v>
      </c>
      <c r="AD25">
        <f t="shared" si="27"/>
        <v>2.2067747986317999E-3</v>
      </c>
      <c r="AE25" s="67">
        <f t="shared" si="28"/>
        <v>1002.6345688120957</v>
      </c>
      <c r="AF25">
        <f t="shared" si="29"/>
        <v>6.9103863834012733</v>
      </c>
      <c r="AG25" s="68">
        <f t="shared" si="30"/>
        <v>0.92938636408248865</v>
      </c>
      <c r="AH25">
        <f t="shared" si="31"/>
        <v>0.19386160518899956</v>
      </c>
      <c r="AJ25">
        <f t="shared" si="22"/>
        <v>453.15</v>
      </c>
      <c r="AK25" s="68">
        <f t="shared" si="32"/>
        <v>0.92938636408248865</v>
      </c>
      <c r="AL25">
        <f t="shared" si="33"/>
        <v>5.1583189926911004</v>
      </c>
      <c r="AM25">
        <f t="shared" si="23"/>
        <v>0.38680348756906052</v>
      </c>
      <c r="AN25">
        <f t="shared" si="34"/>
        <v>0.74607963382136122</v>
      </c>
      <c r="AP25" t="e">
        <v>#N/A</v>
      </c>
      <c r="AQ25" t="e">
        <v>#N/A</v>
      </c>
      <c r="AR25" t="e">
        <v>#N/A</v>
      </c>
      <c r="AS25" t="e">
        <v>#N/A</v>
      </c>
      <c r="AT25" t="e">
        <v>#N/A</v>
      </c>
    </row>
    <row r="26" spans="1:65">
      <c r="A26" s="71"/>
      <c r="B26" s="42">
        <f t="shared" si="37"/>
        <v>200</v>
      </c>
      <c r="C26" s="48">
        <f t="shared" si="49"/>
        <v>1458.6718682698252</v>
      </c>
      <c r="D26" s="12">
        <f t="shared" si="50"/>
        <v>15.546718682698252</v>
      </c>
      <c r="E26" s="11">
        <f t="shared" si="51"/>
        <v>473.15</v>
      </c>
      <c r="F26" s="13">
        <f t="shared" si="52"/>
        <v>864.66752748505996</v>
      </c>
      <c r="G26" s="14">
        <f t="shared" si="53"/>
        <v>7.8602558814044983</v>
      </c>
      <c r="H26" s="15">
        <f t="shared" si="54"/>
        <v>0.90574722780805983</v>
      </c>
      <c r="I26" s="13">
        <f t="shared" si="5"/>
        <v>852.39306808341951</v>
      </c>
      <c r="J26" s="13">
        <f t="shared" si="55"/>
        <v>1939.66849592886</v>
      </c>
      <c r="K26" s="13">
        <f t="shared" si="7"/>
        <v>2792.0615640122796</v>
      </c>
      <c r="L26" s="11">
        <f t="shared" si="8"/>
        <v>2.3308007061038141</v>
      </c>
      <c r="M26" s="14">
        <f t="shared" si="9"/>
        <v>6.43029677203209</v>
      </c>
      <c r="N26" s="15">
        <f t="shared" si="10"/>
        <v>4.4940105570712223</v>
      </c>
      <c r="O26" s="15">
        <f t="shared" si="11"/>
        <v>2.9900223225115274</v>
      </c>
      <c r="P26" s="15">
        <f t="shared" si="12"/>
        <v>3.3170032398447948</v>
      </c>
      <c r="Q26" s="15">
        <f t="shared" si="13"/>
        <v>2.0676901283725138</v>
      </c>
      <c r="R26" s="15">
        <f t="shared" si="56"/>
        <v>1.2834579489113769</v>
      </c>
      <c r="S26" s="15">
        <f t="shared" si="57"/>
        <v>1331.4840493192971</v>
      </c>
      <c r="T26" s="15">
        <f t="shared" si="58"/>
        <v>503.8390796365365</v>
      </c>
      <c r="U26" s="11">
        <f t="shared" si="17"/>
        <v>1.3432092436913649E-4</v>
      </c>
      <c r="V26" s="16">
        <f t="shared" si="18"/>
        <v>1.5714830799489767E-5</v>
      </c>
      <c r="W26" s="15">
        <f t="shared" si="19"/>
        <v>0.66332557875195519</v>
      </c>
      <c r="X26" s="14">
        <f t="shared" si="20"/>
        <v>4.0112302105373608E-2</v>
      </c>
      <c r="Y26" s="36">
        <f t="shared" si="59"/>
        <v>37.673510813666354</v>
      </c>
      <c r="AB26" s="66">
        <f t="shared" si="25"/>
        <v>200</v>
      </c>
      <c r="AC26">
        <f t="shared" si="26"/>
        <v>473.15</v>
      </c>
      <c r="AD26">
        <f t="shared" si="27"/>
        <v>2.1134946634259748E-3</v>
      </c>
      <c r="AE26" s="67">
        <f t="shared" si="28"/>
        <v>1554.6718682698252</v>
      </c>
      <c r="AF26">
        <f t="shared" si="29"/>
        <v>7.3490197851562513</v>
      </c>
      <c r="AG26" s="68">
        <f t="shared" si="30"/>
        <v>0.90574722780805983</v>
      </c>
      <c r="AH26">
        <f t="shared" si="31"/>
        <v>0.12722232139614728</v>
      </c>
      <c r="AJ26">
        <f t="shared" si="22"/>
        <v>473.15</v>
      </c>
      <c r="AK26" s="68">
        <f t="shared" si="32"/>
        <v>0.90574722780805983</v>
      </c>
      <c r="AL26">
        <f t="shared" si="33"/>
        <v>7.8602558814044983</v>
      </c>
      <c r="AM26">
        <f t="shared" si="23"/>
        <v>0.40737897705489606</v>
      </c>
      <c r="AN26">
        <f t="shared" si="34"/>
        <v>0.67302012963321323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V26">
        <f>AH26</f>
        <v>0.12722232139614728</v>
      </c>
      <c r="AW26">
        <f>AVERAGE(AH25,AH27)</f>
        <v>0.13998116280200373</v>
      </c>
      <c r="AX26">
        <f>AVERAGE(AH24,AH28)</f>
        <v>0.18326428540261086</v>
      </c>
      <c r="AY26">
        <f>AVERAGE(AH23,AH29)</f>
        <v>0.27534733059866517</v>
      </c>
      <c r="AZ26">
        <f>AVERAGE(AH22,AH30)</f>
        <v>0.46072895864637914</v>
      </c>
      <c r="BB26" s="68">
        <f>AK26</f>
        <v>0.90574722780805983</v>
      </c>
      <c r="BC26" s="68">
        <f>AVERAGE(AK25,AK27)</f>
        <v>0.90338161577654641</v>
      </c>
      <c r="BD26" s="68">
        <f>AVERAGE(AK24,AK28)</f>
        <v>0.89623380349414195</v>
      </c>
      <c r="BE26" s="68">
        <f>AVERAGE(AK23,AK29)</f>
        <v>0.88415362818897547</v>
      </c>
      <c r="BF26" s="68">
        <f>AVERAGE(AK22,AK30)</f>
        <v>0.86687709240756372</v>
      </c>
      <c r="BI26" s="68">
        <f>AF26</f>
        <v>7.3490197851562513</v>
      </c>
      <c r="BJ26" s="68">
        <f>AVERAGE(AF25,AF27)</f>
        <v>7.3297008935058772</v>
      </c>
      <c r="BK26" s="68">
        <f>AVERAGE(AF24,AF28)</f>
        <v>7.2712146766071104</v>
      </c>
      <c r="BL26" s="68">
        <f>AVERAGE(AF23,AF29)</f>
        <v>7.1719470280353645</v>
      </c>
      <c r="BM26" s="68">
        <f>AVERAGE(AF22,AF30)</f>
        <v>7.0291218660065722</v>
      </c>
    </row>
    <row r="27" spans="1:65">
      <c r="A27" s="71"/>
      <c r="B27" s="42">
        <f t="shared" si="37"/>
        <v>220</v>
      </c>
      <c r="C27" s="48">
        <f t="shared" si="49"/>
        <v>2223.2877277254242</v>
      </c>
      <c r="D27" s="12">
        <f t="shared" si="50"/>
        <v>23.192877277254244</v>
      </c>
      <c r="E27" s="11">
        <f t="shared" si="51"/>
        <v>493.15</v>
      </c>
      <c r="F27" s="13">
        <f t="shared" si="52"/>
        <v>840.22578787116049</v>
      </c>
      <c r="G27" s="14">
        <f t="shared" si="53"/>
        <v>11.614304679217216</v>
      </c>
      <c r="H27" s="15">
        <f t="shared" si="54"/>
        <v>0.87737686747060406</v>
      </c>
      <c r="I27" s="13">
        <f t="shared" si="5"/>
        <v>943.64169870057265</v>
      </c>
      <c r="J27" s="13">
        <f t="shared" si="55"/>
        <v>1857.4093016983825</v>
      </c>
      <c r="K27" s="13">
        <f t="shared" si="7"/>
        <v>2801.0510003989552</v>
      </c>
      <c r="L27" s="11">
        <f t="shared" si="8"/>
        <v>2.5178174198851502</v>
      </c>
      <c r="M27" s="14">
        <f t="shared" si="9"/>
        <v>6.2842455210538795</v>
      </c>
      <c r="N27" s="15">
        <f t="shared" si="10"/>
        <v>4.6107083920944358</v>
      </c>
      <c r="O27" s="15">
        <f t="shared" si="11"/>
        <v>3.3279961138328056</v>
      </c>
      <c r="P27" s="15">
        <f t="shared" si="12"/>
        <v>3.2446881616822143</v>
      </c>
      <c r="Q27" s="15">
        <f t="shared" si="13"/>
        <v>2.2170762079992694</v>
      </c>
      <c r="R27" s="15">
        <f t="shared" si="56"/>
        <v>1.2758670737478894</v>
      </c>
      <c r="S27" s="15">
        <f t="shared" si="57"/>
        <v>1263.9413044417977</v>
      </c>
      <c r="T27" s="15">
        <f t="shared" si="58"/>
        <v>504.75824594853788</v>
      </c>
      <c r="U27" s="11">
        <f t="shared" si="17"/>
        <v>1.2151832895618832E-4</v>
      </c>
      <c r="V27" s="16">
        <f t="shared" si="18"/>
        <v>1.6410822995094434E-5</v>
      </c>
      <c r="W27" s="15">
        <f t="shared" si="19"/>
        <v>0.64965929204585959</v>
      </c>
      <c r="X27" s="14">
        <f t="shared" si="20"/>
        <v>4.4168666262719251E-2</v>
      </c>
      <c r="Y27" s="36">
        <f t="shared" si="59"/>
        <v>33.065565905810828</v>
      </c>
      <c r="AB27" s="66">
        <f t="shared" si="25"/>
        <v>220</v>
      </c>
      <c r="AC27">
        <f t="shared" si="26"/>
        <v>493.15</v>
      </c>
      <c r="AD27">
        <f t="shared" si="27"/>
        <v>2.0277805941397143E-3</v>
      </c>
      <c r="AE27" s="67">
        <f t="shared" si="28"/>
        <v>2319.2877277254242</v>
      </c>
      <c r="AF27">
        <f t="shared" si="29"/>
        <v>7.749015403610481</v>
      </c>
      <c r="AG27" s="68">
        <f t="shared" si="30"/>
        <v>0.87737686747060406</v>
      </c>
      <c r="AH27">
        <f t="shared" si="31"/>
        <v>8.6100720415007936E-2</v>
      </c>
      <c r="AJ27">
        <f t="shared" si="22"/>
        <v>493.15</v>
      </c>
      <c r="AK27" s="68">
        <f t="shared" si="32"/>
        <v>0.87737686747060406</v>
      </c>
      <c r="AL27">
        <f t="shared" si="33"/>
        <v>11.614304679217216</v>
      </c>
      <c r="AM27">
        <f t="shared" si="23"/>
        <v>0.42812919567428004</v>
      </c>
      <c r="AN27">
        <f t="shared" si="34"/>
        <v>0.59257690209134373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V27" t="s">
        <v>192</v>
      </c>
      <c r="AW27">
        <v>10</v>
      </c>
      <c r="AX27">
        <f>AW27+10</f>
        <v>20</v>
      </c>
      <c r="AY27">
        <f t="shared" ref="AY27:AZ27" si="63">AX27+10</f>
        <v>30</v>
      </c>
      <c r="AZ27">
        <f t="shared" si="63"/>
        <v>40</v>
      </c>
      <c r="BB27" t="s">
        <v>192</v>
      </c>
      <c r="BC27">
        <f>AW27</f>
        <v>10</v>
      </c>
      <c r="BD27">
        <f t="shared" ref="BD27:BF27" si="64">AX27</f>
        <v>20</v>
      </c>
      <c r="BE27">
        <f t="shared" si="64"/>
        <v>30</v>
      </c>
      <c r="BF27">
        <f t="shared" si="64"/>
        <v>40</v>
      </c>
      <c r="BI27" t="s">
        <v>192</v>
      </c>
      <c r="BJ27">
        <v>10</v>
      </c>
      <c r="BK27">
        <f>BJ27+10</f>
        <v>20</v>
      </c>
      <c r="BL27">
        <f t="shared" ref="BL27:BM27" si="65">BK27+10</f>
        <v>30</v>
      </c>
      <c r="BM27">
        <f t="shared" si="65"/>
        <v>40</v>
      </c>
    </row>
    <row r="28" spans="1:65">
      <c r="A28" s="71"/>
      <c r="B28" s="42">
        <f t="shared" si="37"/>
        <v>240</v>
      </c>
      <c r="C28" s="48">
        <f t="shared" si="49"/>
        <v>3250.651871510162</v>
      </c>
      <c r="D28" s="12">
        <f t="shared" si="50"/>
        <v>33.466518715101621</v>
      </c>
      <c r="E28" s="11">
        <f t="shared" si="51"/>
        <v>513.15</v>
      </c>
      <c r="F28" s="13">
        <f t="shared" si="52"/>
        <v>813.36485916981576</v>
      </c>
      <c r="G28" s="14">
        <f t="shared" si="53"/>
        <v>16.747578872158211</v>
      </c>
      <c r="H28" s="15">
        <f t="shared" si="54"/>
        <v>0.84375813906685271</v>
      </c>
      <c r="I28" s="13">
        <f t="shared" si="5"/>
        <v>1037.5227548256446</v>
      </c>
      <c r="J28" s="13">
        <f t="shared" si="55"/>
        <v>1765.5372173125049</v>
      </c>
      <c r="K28" s="13">
        <f t="shared" si="7"/>
        <v>2803.0599721381495</v>
      </c>
      <c r="L28" s="11">
        <f t="shared" si="8"/>
        <v>2.7019401597279158</v>
      </c>
      <c r="M28" s="14">
        <f t="shared" si="9"/>
        <v>6.1425269673423388</v>
      </c>
      <c r="N28" s="15">
        <f t="shared" si="10"/>
        <v>4.766841145597029</v>
      </c>
      <c r="O28" s="15">
        <f t="shared" si="11"/>
        <v>3.7545314948723147</v>
      </c>
      <c r="P28" s="15">
        <f t="shared" si="12"/>
        <v>3.1802334129478695</v>
      </c>
      <c r="Q28" s="15">
        <f t="shared" si="13"/>
        <v>2.3794831845500086</v>
      </c>
      <c r="R28" s="15">
        <f t="shared" si="56"/>
        <v>1.2680207901259948</v>
      </c>
      <c r="S28" s="15">
        <f t="shared" si="57"/>
        <v>1188.8315944870221</v>
      </c>
      <c r="T28" s="15">
        <f t="shared" si="58"/>
        <v>503.37592453577099</v>
      </c>
      <c r="U28" s="11">
        <f t="shared" si="17"/>
        <v>1.108509474720599E-4</v>
      </c>
      <c r="V28" s="16">
        <f t="shared" si="18"/>
        <v>1.7125009989814476E-5</v>
      </c>
      <c r="W28" s="15">
        <f t="shared" si="19"/>
        <v>0.63184781940471679</v>
      </c>
      <c r="X28" s="14">
        <f t="shared" si="20"/>
        <v>4.8726918674282763E-2</v>
      </c>
      <c r="Y28" s="36">
        <f t="shared" si="59"/>
        <v>28.392673745771603</v>
      </c>
      <c r="AB28" s="66">
        <f t="shared" si="25"/>
        <v>240</v>
      </c>
      <c r="AC28">
        <f t="shared" si="26"/>
        <v>513.15</v>
      </c>
      <c r="AD28">
        <f t="shared" si="27"/>
        <v>1.948747929455325E-3</v>
      </c>
      <c r="AE28" s="67">
        <f t="shared" si="28"/>
        <v>3346.651871510162</v>
      </c>
      <c r="AF28">
        <f t="shared" si="29"/>
        <v>8.1157156837043409</v>
      </c>
      <c r="AG28" s="68">
        <f t="shared" si="30"/>
        <v>0.84375813906685271</v>
      </c>
      <c r="AH28">
        <f t="shared" si="31"/>
        <v>5.971012333385315E-2</v>
      </c>
      <c r="AJ28">
        <f t="shared" si="22"/>
        <v>513.15</v>
      </c>
      <c r="AK28" s="68">
        <f t="shared" si="32"/>
        <v>0.84375813906685271</v>
      </c>
      <c r="AL28">
        <f t="shared" si="33"/>
        <v>16.747578872158211</v>
      </c>
      <c r="AM28">
        <f t="shared" si="23"/>
        <v>0.44904844817420136</v>
      </c>
      <c r="AN28">
        <f t="shared" si="34"/>
        <v>0.50684118848521731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</row>
    <row r="29" spans="1:65">
      <c r="A29" s="71"/>
      <c r="B29" s="42">
        <f t="shared" si="37"/>
        <v>260</v>
      </c>
      <c r="C29" s="48">
        <f t="shared" si="49"/>
        <v>4596.071054355345</v>
      </c>
      <c r="D29" s="12">
        <f t="shared" si="50"/>
        <v>46.920710543553454</v>
      </c>
      <c r="E29" s="11">
        <f t="shared" si="51"/>
        <v>533.15</v>
      </c>
      <c r="F29" s="13">
        <f t="shared" si="52"/>
        <v>783.61981901726813</v>
      </c>
      <c r="G29" s="14">
        <f t="shared" si="53"/>
        <v>23.710455407296024</v>
      </c>
      <c r="H29" s="15">
        <f t="shared" si="54"/>
        <v>0.80422778468633627</v>
      </c>
      <c r="I29" s="13">
        <f t="shared" si="5"/>
        <v>1134.8266316171985</v>
      </c>
      <c r="J29" s="13">
        <f t="shared" si="55"/>
        <v>1661.8170047778726</v>
      </c>
      <c r="K29" s="13">
        <f t="shared" si="7"/>
        <v>2796.6436363950711</v>
      </c>
      <c r="L29" s="11">
        <f t="shared" si="8"/>
        <v>2.8847151531368835</v>
      </c>
      <c r="M29" s="14">
        <f t="shared" si="9"/>
        <v>6.0016880236805337</v>
      </c>
      <c r="N29" s="15">
        <f t="shared" si="10"/>
        <v>4.980728719038586</v>
      </c>
      <c r="O29" s="15">
        <f t="shared" si="11"/>
        <v>4.3080141235813203</v>
      </c>
      <c r="P29" s="15">
        <f t="shared" si="12"/>
        <v>3.124852899609146</v>
      </c>
      <c r="Q29" s="15">
        <f t="shared" si="13"/>
        <v>2.5542791198791153</v>
      </c>
      <c r="R29" s="15">
        <f t="shared" si="56"/>
        <v>1.2599657017674282</v>
      </c>
      <c r="S29" s="15">
        <f t="shared" si="57"/>
        <v>1105.8264654027057</v>
      </c>
      <c r="T29" s="15">
        <f t="shared" si="58"/>
        <v>499.33465008566446</v>
      </c>
      <c r="U29" s="11">
        <f t="shared" si="17"/>
        <v>1.0167962355429541E-4</v>
      </c>
      <c r="V29" s="16">
        <f t="shared" si="18"/>
        <v>1.7876953497480556E-5</v>
      </c>
      <c r="W29" s="15">
        <f t="shared" si="19"/>
        <v>0.60923284078966011</v>
      </c>
      <c r="X29" s="14">
        <f t="shared" si="20"/>
        <v>5.4031496851238786E-2</v>
      </c>
      <c r="Y29" s="36">
        <f t="shared" si="59"/>
        <v>23.687700351321816</v>
      </c>
      <c r="AB29" s="66">
        <f t="shared" si="25"/>
        <v>260</v>
      </c>
      <c r="AC29">
        <f t="shared" si="26"/>
        <v>533.15</v>
      </c>
      <c r="AD29">
        <f t="shared" si="27"/>
        <v>1.8756447528838038E-3</v>
      </c>
      <c r="AE29" s="67">
        <f t="shared" si="28"/>
        <v>4692.071054355345</v>
      </c>
      <c r="AF29">
        <f t="shared" si="29"/>
        <v>8.4536293533831994</v>
      </c>
      <c r="AG29" s="68">
        <f t="shared" si="30"/>
        <v>0.80422778468633627</v>
      </c>
      <c r="AH29">
        <f t="shared" si="31"/>
        <v>4.2175486839965401E-2</v>
      </c>
      <c r="AJ29">
        <f t="shared" si="22"/>
        <v>533.15</v>
      </c>
      <c r="AK29" s="68">
        <f t="shared" si="32"/>
        <v>0.80422778468633627</v>
      </c>
      <c r="AL29">
        <f t="shared" si="33"/>
        <v>23.710455407296024</v>
      </c>
      <c r="AM29">
        <f t="shared" si="23"/>
        <v>0.47013144074256141</v>
      </c>
      <c r="AN29">
        <f t="shared" si="34"/>
        <v>0.41832738196234703</v>
      </c>
      <c r="AV29" t="s">
        <v>193</v>
      </c>
      <c r="AW29">
        <f>(AW26-$AV$26)/$AV$26</f>
        <v>0.10028775820029041</v>
      </c>
      <c r="AX29">
        <f t="shared" ref="AX29:AZ29" si="66">(AX26-$AV$26)/$AV$26</f>
        <v>0.44050417718726453</v>
      </c>
      <c r="AY29">
        <f t="shared" si="66"/>
        <v>1.1643004747671868</v>
      </c>
      <c r="AZ29">
        <f t="shared" si="66"/>
        <v>2.6214475069335719</v>
      </c>
      <c r="BB29" t="s">
        <v>196</v>
      </c>
      <c r="BC29">
        <f>ABS(BC26-$BB$26)/$BB$26</f>
        <v>2.6117794886750959E-3</v>
      </c>
      <c r="BD29">
        <f t="shared" ref="BD29:BF29" si="67">ABS(BD26-$BB$26)/$BB$26</f>
        <v>1.0503398764952012E-2</v>
      </c>
      <c r="BE29">
        <f t="shared" si="67"/>
        <v>2.3840646657392075E-2</v>
      </c>
      <c r="BF29">
        <f t="shared" si="67"/>
        <v>4.2914992403082705E-2</v>
      </c>
      <c r="BI29" t="s">
        <v>196</v>
      </c>
      <c r="BJ29">
        <f>ABS(BJ26-$BI$26)/$BI$26</f>
        <v>2.6287712123724263E-3</v>
      </c>
      <c r="BK29">
        <f t="shared" ref="BK29:BM29" si="68">ABS(BK26-$BI$26)/$BI$26</f>
        <v>1.0587140982569371E-2</v>
      </c>
      <c r="BL29">
        <f t="shared" si="68"/>
        <v>2.409474491802881E-2</v>
      </c>
      <c r="BM29">
        <f t="shared" si="68"/>
        <v>4.3529331598183695E-2</v>
      </c>
    </row>
    <row r="30" spans="1:65">
      <c r="A30" s="71"/>
      <c r="B30" s="42">
        <f t="shared" si="37"/>
        <v>280</v>
      </c>
      <c r="C30" s="48">
        <f t="shared" si="49"/>
        <v>6320.4592816803715</v>
      </c>
      <c r="D30" s="12">
        <f t="shared" si="50"/>
        <v>64.164592816803719</v>
      </c>
      <c r="E30" s="11">
        <f t="shared" si="51"/>
        <v>553.15</v>
      </c>
      <c r="F30" s="13">
        <f t="shared" si="52"/>
        <v>750.27459727580344</v>
      </c>
      <c r="G30" s="14">
        <f t="shared" si="53"/>
        <v>33.163134527648452</v>
      </c>
      <c r="H30" s="15">
        <f t="shared" si="54"/>
        <v>0.75788053891167706</v>
      </c>
      <c r="I30" s="13">
        <f t="shared" si="5"/>
        <v>1236.6710007034555</v>
      </c>
      <c r="J30" s="13">
        <f t="shared" si="55"/>
        <v>1543.1534616334031</v>
      </c>
      <c r="K30" s="13">
        <f t="shared" si="7"/>
        <v>2779.8244623368587</v>
      </c>
      <c r="L30" s="11">
        <f t="shared" si="8"/>
        <v>3.0680747776115513</v>
      </c>
      <c r="M30" s="14">
        <f t="shared" si="9"/>
        <v>5.8578276097292958</v>
      </c>
      <c r="N30" s="15">
        <f t="shared" si="10"/>
        <v>5.2858600929513733</v>
      </c>
      <c r="O30" s="15">
        <f t="shared" si="11"/>
        <v>5.0700969719522666</v>
      </c>
      <c r="P30" s="15">
        <f t="shared" si="12"/>
        <v>3.0809028123777389</v>
      </c>
      <c r="Q30" s="15">
        <f t="shared" si="13"/>
        <v>2.7470066815042786</v>
      </c>
      <c r="R30" s="15">
        <f t="shared" si="56"/>
        <v>1.2516415543066597</v>
      </c>
      <c r="S30" s="15">
        <f t="shared" si="57"/>
        <v>1013.5139699893457</v>
      </c>
      <c r="T30" s="15">
        <f t="shared" si="58"/>
        <v>492.10742930547536</v>
      </c>
      <c r="U30" s="11">
        <f t="shared" si="17"/>
        <v>9.3506250756332604E-5</v>
      </c>
      <c r="V30" s="16">
        <f t="shared" si="18"/>
        <v>1.8699624829555715E-5</v>
      </c>
      <c r="W30" s="15">
        <f t="shared" si="19"/>
        <v>0.58114896334122179</v>
      </c>
      <c r="X30" s="14">
        <f t="shared" si="20"/>
        <v>6.0612288271728681E-2</v>
      </c>
      <c r="Y30" s="36">
        <f t="shared" si="59"/>
        <v>18.991699001633627</v>
      </c>
      <c r="AB30" s="66">
        <f t="shared" si="25"/>
        <v>280</v>
      </c>
      <c r="AC30">
        <f t="shared" si="26"/>
        <v>553.15</v>
      </c>
      <c r="AD30">
        <f t="shared" si="27"/>
        <v>1.8078278947844166E-3</v>
      </c>
      <c r="AE30" s="67">
        <f t="shared" si="28"/>
        <v>6416.4592816803715</v>
      </c>
      <c r="AF30">
        <f t="shared" si="29"/>
        <v>8.7666217307874028</v>
      </c>
      <c r="AG30" s="68">
        <f t="shared" si="30"/>
        <v>0.75788053891167706</v>
      </c>
      <c r="AH30">
        <f t="shared" si="31"/>
        <v>3.0153965065222936E-2</v>
      </c>
      <c r="AJ30">
        <f t="shared" si="22"/>
        <v>553.15</v>
      </c>
      <c r="AK30" s="68">
        <f t="shared" si="32"/>
        <v>0.75788053891167706</v>
      </c>
      <c r="AL30">
        <f t="shared" si="33"/>
        <v>33.163134527648452</v>
      </c>
      <c r="AM30">
        <f t="shared" si="23"/>
        <v>0.49137323863932458</v>
      </c>
      <c r="AN30">
        <f t="shared" si="34"/>
        <v>0.32991572874872382</v>
      </c>
    </row>
    <row r="31" spans="1:65">
      <c r="A31" s="71"/>
      <c r="B31" s="42">
        <f t="shared" si="37"/>
        <v>300</v>
      </c>
      <c r="C31" s="48">
        <f t="shared" si="49"/>
        <v>8491.7083295572793</v>
      </c>
      <c r="D31" s="12">
        <f t="shared" si="50"/>
        <v>85.877083295572788</v>
      </c>
      <c r="E31" s="11">
        <f t="shared" si="51"/>
        <v>573.15</v>
      </c>
      <c r="F31" s="13">
        <f t="shared" si="52"/>
        <v>712.13762109957088</v>
      </c>
      <c r="G31" s="14">
        <f t="shared" si="53"/>
        <v>46.161520159037551</v>
      </c>
      <c r="H31" s="15">
        <f t="shared" si="54"/>
        <v>0.70328716042662787</v>
      </c>
      <c r="I31" s="13">
        <f t="shared" si="5"/>
        <v>1344.7713390197296</v>
      </c>
      <c r="J31" s="13">
        <f t="shared" si="55"/>
        <v>1404.8024035242438</v>
      </c>
      <c r="K31" s="13">
        <f t="shared" si="7"/>
        <v>2749.5737425439734</v>
      </c>
      <c r="L31" s="11">
        <f t="shared" si="8"/>
        <v>3.2547405504942146</v>
      </c>
      <c r="M31" s="14">
        <f t="shared" si="9"/>
        <v>5.7057636168271531</v>
      </c>
      <c r="N31" s="15">
        <f t="shared" si="10"/>
        <v>5.7515232656451278</v>
      </c>
      <c r="O31" s="15">
        <f t="shared" si="11"/>
        <v>6.2230868055026765</v>
      </c>
      <c r="P31" s="15">
        <f t="shared" si="12"/>
        <v>3.0524714422486472</v>
      </c>
      <c r="Q31" s="15">
        <f t="shared" si="13"/>
        <v>2.9724190923652074</v>
      </c>
      <c r="R31" s="15">
        <f t="shared" si="56"/>
        <v>1.2426550447031668</v>
      </c>
      <c r="S31" s="15">
        <f t="shared" si="57"/>
        <v>909.68887223625779</v>
      </c>
      <c r="T31" s="15">
        <f t="shared" si="58"/>
        <v>480.81043588495146</v>
      </c>
      <c r="U31" s="11">
        <f t="shared" si="17"/>
        <v>8.5896445395443487E-5</v>
      </c>
      <c r="V31" s="16">
        <f t="shared" si="18"/>
        <v>1.965120870836571E-5</v>
      </c>
      <c r="W31" s="15">
        <f t="shared" si="19"/>
        <v>0.54743031006199572</v>
      </c>
      <c r="X31" s="14">
        <f t="shared" si="20"/>
        <v>6.9646030252948118E-2</v>
      </c>
      <c r="Y31" s="36">
        <f t="shared" si="59"/>
        <v>14.358398097881595</v>
      </c>
      <c r="AB31" s="66">
        <f t="shared" si="25"/>
        <v>300</v>
      </c>
      <c r="AC31">
        <f t="shared" si="26"/>
        <v>573.15</v>
      </c>
      <c r="AD31">
        <f t="shared" si="27"/>
        <v>1.7447439588240427E-3</v>
      </c>
      <c r="AE31" s="67">
        <f t="shared" si="28"/>
        <v>8587.7083295572793</v>
      </c>
      <c r="AF31">
        <f t="shared" si="29"/>
        <v>9.058087195864557</v>
      </c>
      <c r="AG31" s="68">
        <f t="shared" si="30"/>
        <v>0.70328716042662787</v>
      </c>
      <c r="AH31">
        <f t="shared" si="31"/>
        <v>2.1663064746454606E-2</v>
      </c>
      <c r="AJ31">
        <f t="shared" si="22"/>
        <v>573.15</v>
      </c>
      <c r="AK31" s="68">
        <f t="shared" si="32"/>
        <v>0.70328716042662787</v>
      </c>
      <c r="AL31">
        <f t="shared" si="33"/>
        <v>46.161520159037551</v>
      </c>
      <c r="AM31">
        <f t="shared" si="23"/>
        <v>0.51276922967736382</v>
      </c>
      <c r="AN31">
        <f t="shared" si="34"/>
        <v>0.24464185162133259</v>
      </c>
    </row>
    <row r="32" spans="1:65">
      <c r="A32" s="39"/>
      <c r="B32" s="42">
        <f t="shared" si="37"/>
        <v>320</v>
      </c>
      <c r="C32" s="48">
        <f t="shared" si="49"/>
        <v>11187.855886549687</v>
      </c>
      <c r="D32" s="12">
        <f t="shared" si="50"/>
        <v>112.83855886549688</v>
      </c>
      <c r="E32" s="11">
        <f t="shared" si="51"/>
        <v>593.15</v>
      </c>
      <c r="F32" s="13">
        <f t="shared" si="52"/>
        <v>667.08334106585164</v>
      </c>
      <c r="G32" s="14">
        <f t="shared" si="53"/>
        <v>64.616484752065887</v>
      </c>
      <c r="H32" s="15">
        <f t="shared" si="54"/>
        <v>0.63790127500397253</v>
      </c>
      <c r="I32" s="13">
        <f t="shared" si="5"/>
        <v>1462.0510091192475</v>
      </c>
      <c r="J32" s="13">
        <f t="shared" si="55"/>
        <v>1238.6166782220819</v>
      </c>
      <c r="K32" s="13">
        <f t="shared" si="7"/>
        <v>2700.6676873413294</v>
      </c>
      <c r="L32" s="11">
        <f t="shared" si="8"/>
        <v>3.4491160973268271</v>
      </c>
      <c r="M32" s="14">
        <f t="shared" si="9"/>
        <v>5.5373194499261045</v>
      </c>
      <c r="N32" s="15">
        <f t="shared" si="10"/>
        <v>6.5414207882140012</v>
      </c>
      <c r="O32" s="15">
        <f t="shared" si="11"/>
        <v>8.15748511408637</v>
      </c>
      <c r="P32" s="15">
        <f t="shared" si="12"/>
        <v>3.0418438812420985</v>
      </c>
      <c r="Q32" s="15">
        <f t="shared" si="13"/>
        <v>3.2332112847458645</v>
      </c>
      <c r="R32" s="15">
        <f t="shared" si="56"/>
        <v>1.2342181796949023</v>
      </c>
      <c r="S32" s="15">
        <f t="shared" si="57"/>
        <v>794.57896903512119</v>
      </c>
      <c r="T32" s="15">
        <f t="shared" si="58"/>
        <v>464.25123854025799</v>
      </c>
      <c r="U32" s="11">
        <f t="shared" si="17"/>
        <v>7.8406226355436708E-5</v>
      </c>
      <c r="V32" s="16">
        <f t="shared" si="18"/>
        <v>2.0845634924341165E-5</v>
      </c>
      <c r="W32" s="15">
        <f t="shared" si="19"/>
        <v>0.50922584819727279</v>
      </c>
      <c r="X32" s="14">
        <f t="shared" si="20"/>
        <v>8.3873924955881307E-2</v>
      </c>
      <c r="Y32" s="36">
        <f t="shared" si="59"/>
        <v>9.8631456894189125</v>
      </c>
      <c r="AB32" s="66">
        <f t="shared" si="25"/>
        <v>320</v>
      </c>
      <c r="AC32">
        <f t="shared" si="26"/>
        <v>593.15</v>
      </c>
      <c r="AD32">
        <f t="shared" si="27"/>
        <v>1.6859141869678834E-3</v>
      </c>
      <c r="AE32" s="67">
        <f t="shared" si="28"/>
        <v>11283.855886549687</v>
      </c>
      <c r="AF32">
        <f t="shared" si="29"/>
        <v>9.3311283005541288</v>
      </c>
      <c r="AG32" s="68">
        <f t="shared" si="30"/>
        <v>0.63790127500397253</v>
      </c>
      <c r="AH32">
        <f t="shared" si="31"/>
        <v>1.547592698422098E-2</v>
      </c>
      <c r="AJ32">
        <f t="shared" si="22"/>
        <v>593.15</v>
      </c>
      <c r="AK32" s="68">
        <f t="shared" si="32"/>
        <v>0.63790127500397253</v>
      </c>
      <c r="AL32">
        <f t="shared" si="33"/>
        <v>64.616484752065887</v>
      </c>
      <c r="AM32">
        <f t="shared" si="23"/>
        <v>0.53431509256836496</v>
      </c>
      <c r="AN32">
        <f t="shared" si="34"/>
        <v>0.1655822885524692</v>
      </c>
      <c r="AW32" t="s">
        <v>194</v>
      </c>
      <c r="BB32" t="s">
        <v>197</v>
      </c>
    </row>
    <row r="33" spans="1:55">
      <c r="A33" s="56"/>
      <c r="B33" s="57"/>
      <c r="C33" s="58"/>
      <c r="D33" s="59"/>
      <c r="E33" s="60"/>
      <c r="F33" s="61"/>
      <c r="G33" s="62"/>
      <c r="H33" s="63"/>
      <c r="I33" s="61"/>
      <c r="J33" s="61"/>
      <c r="K33" s="61"/>
      <c r="L33" s="60"/>
      <c r="M33" s="62"/>
      <c r="N33" s="63"/>
      <c r="O33" s="63"/>
      <c r="P33" s="63"/>
      <c r="Q33" s="63"/>
      <c r="R33" s="63"/>
      <c r="S33" s="63"/>
      <c r="T33" s="63"/>
      <c r="U33" s="60"/>
      <c r="V33" s="64"/>
      <c r="W33" s="63"/>
      <c r="X33" s="62"/>
      <c r="Y33" s="65"/>
    </row>
    <row r="34" spans="1:55">
      <c r="A34" s="56"/>
      <c r="B34" s="57"/>
      <c r="C34" s="58"/>
      <c r="D34" s="59"/>
      <c r="E34" s="60"/>
      <c r="F34" s="61"/>
      <c r="G34" s="62"/>
      <c r="H34" s="63"/>
      <c r="I34" s="61"/>
      <c r="J34" s="61"/>
      <c r="K34" s="61"/>
      <c r="L34" s="60"/>
      <c r="M34" s="62"/>
      <c r="N34" s="63"/>
      <c r="O34" s="63"/>
      <c r="P34" s="63"/>
      <c r="Q34" s="63"/>
      <c r="R34" s="63"/>
      <c r="S34" s="63"/>
      <c r="T34" s="63"/>
      <c r="U34" s="60"/>
      <c r="V34" s="64"/>
      <c r="W34" s="63"/>
      <c r="X34" s="62"/>
      <c r="Y34" s="65"/>
    </row>
    <row r="35" spans="1:55">
      <c r="A35" s="56"/>
      <c r="B35" s="57"/>
      <c r="C35" s="58"/>
      <c r="D35" s="59"/>
      <c r="E35" s="60"/>
      <c r="F35" s="61"/>
      <c r="G35" s="62"/>
      <c r="H35" s="63"/>
      <c r="I35" s="61"/>
      <c r="J35" s="61"/>
      <c r="K35" s="61"/>
      <c r="L35" s="60"/>
      <c r="M35" s="62"/>
      <c r="N35" s="63"/>
      <c r="O35" s="63"/>
      <c r="P35" s="63"/>
      <c r="Q35" s="63"/>
      <c r="R35" s="63"/>
      <c r="S35" s="63"/>
      <c r="T35" s="63"/>
      <c r="U35" s="60"/>
      <c r="V35" s="64"/>
      <c r="W35" s="63"/>
      <c r="X35" s="62"/>
      <c r="Y35" s="65"/>
    </row>
    <row r="37" spans="1:55">
      <c r="BC37" t="s">
        <v>200</v>
      </c>
    </row>
    <row r="38" spans="1:55">
      <c r="BC38" t="s">
        <v>201</v>
      </c>
    </row>
    <row r="39" spans="1:55">
      <c r="B39" t="s">
        <v>182</v>
      </c>
    </row>
    <row r="40" spans="1:55">
      <c r="A40" s="39"/>
      <c r="B40" s="49">
        <f>E40-273.15</f>
        <v>119.57401262222356</v>
      </c>
      <c r="C40" s="50">
        <v>100</v>
      </c>
      <c r="D40" s="51">
        <f>(C40+$D$17)/100</f>
        <v>1.96</v>
      </c>
      <c r="E40" s="52">
        <f>tsatw(D40)</f>
        <v>392.72401262222354</v>
      </c>
      <c r="F40" s="53">
        <f t="shared" ref="F40" si="69">denssatliqTW(E40)</f>
        <v>943.44863997676532</v>
      </c>
      <c r="G40" s="8">
        <f t="shared" ref="G40" si="70">denssatvapTW(E40)</f>
        <v>1.1078550679403745</v>
      </c>
      <c r="H40" s="9">
        <f t="shared" ref="H40" si="71">D40*100*$G$11/($G$12*E40)/G40</f>
        <v>0.97608911155103573</v>
      </c>
      <c r="I40" s="53">
        <f t="shared" ref="I40" si="72">enthalpysatliqTW($E40)</f>
        <v>501.97394824818406</v>
      </c>
      <c r="J40" s="53">
        <f t="shared" ref="J40" si="73">K40-I40</f>
        <v>2203.3409405642183</v>
      </c>
      <c r="K40" s="53">
        <f t="shared" ref="K40" si="74">enthalpysatvapTW($E40)</f>
        <v>2705.3148888124024</v>
      </c>
      <c r="L40" s="52">
        <f t="shared" ref="L40" si="75">entropysatliqTW($E40)</f>
        <v>1.5232143273777508</v>
      </c>
      <c r="M40" s="8">
        <f t="shared" ref="M40" si="76">entropysatvapTW($E40)</f>
        <v>7.1335988868057774</v>
      </c>
      <c r="N40" s="9">
        <f t="shared" ref="N40" si="77">cpsatliqTW($E40)</f>
        <v>4.2456400116828146</v>
      </c>
      <c r="O40" s="9">
        <f t="shared" ref="O40" si="78">cpsatvapTW($E40)</f>
        <v>2.1715473174621049</v>
      </c>
      <c r="P40" s="9">
        <f t="shared" ref="P40" si="79">cvsatliqTW($E40)</f>
        <v>3.6701102139666228</v>
      </c>
      <c r="Q40" s="9">
        <f t="shared" ref="Q40" si="80">cvsatvapTW($E40)</f>
        <v>1.6136460403710355</v>
      </c>
      <c r="R40" s="9">
        <f t="shared" ref="R40" si="81">isentropic_coeffsatvaptW(E40)</f>
        <v>1.3110054113836922</v>
      </c>
      <c r="S40" s="9">
        <f t="shared" ref="S40" si="82">spsoundSatLiqTW(E40)</f>
        <v>1521.6294139253889</v>
      </c>
      <c r="T40" s="9">
        <f t="shared" ref="T40" si="83">spsoundSatVapTW(E40)</f>
        <v>481.60257849605517</v>
      </c>
      <c r="U40" s="52">
        <f t="shared" ref="U40" si="84">viscsatliqTW($E40)</f>
        <v>2.3293938953270491E-4</v>
      </c>
      <c r="V40" s="54">
        <f t="shared" ref="V40" si="85">viscsatvapTW($E40)</f>
        <v>1.2941457925809819E-5</v>
      </c>
      <c r="W40" s="9">
        <f t="shared" ref="W40" si="86">thconsatliqTW($E40)</f>
        <v>0.68314399184500618</v>
      </c>
      <c r="X40" s="8">
        <f t="shared" ref="X40" si="87">thconsatvapTW($E40)</f>
        <v>2.7412789945256241E-2</v>
      </c>
      <c r="Y40" s="10">
        <f t="shared" ref="Y40" si="88">watSurfTens(E40)</f>
        <v>55.0532346806934</v>
      </c>
    </row>
    <row r="45" spans="1:55">
      <c r="AI45" t="s">
        <v>187</v>
      </c>
    </row>
  </sheetData>
  <phoneticPr fontId="2" type="noConversion"/>
  <pageMargins left="0.75" right="0.75" top="1" bottom="1" header="0.5" footer="0.5"/>
  <pageSetup paperSize="3" scale="51" fitToHeight="2" orientation="portrait" horizontalDpi="4294967292"/>
  <headerFooter alignWithMargins="0">
    <oddFooter>&amp;L&amp;F:[&amp;A]&amp;R&amp;P of &amp;N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1E76C-CA62-004C-9427-A8751212FA93}">
  <dimension ref="A1:I21"/>
  <sheetViews>
    <sheetView tabSelected="1" workbookViewId="0">
      <selection activeCell="F13" sqref="F13"/>
    </sheetView>
  </sheetViews>
  <sheetFormatPr baseColWidth="10" defaultRowHeight="13"/>
  <sheetData>
    <row r="1" spans="1:4">
      <c r="A1" s="37" t="s">
        <v>238</v>
      </c>
      <c r="B1">
        <v>5.8443000000000002E-2</v>
      </c>
      <c r="C1" s="37" t="s">
        <v>240</v>
      </c>
    </row>
    <row r="2" spans="1:4">
      <c r="A2" s="37" t="s">
        <v>239</v>
      </c>
      <c r="B2">
        <v>1.8015E-2</v>
      </c>
      <c r="C2" s="37" t="s">
        <v>240</v>
      </c>
    </row>
    <row r="3" spans="1:4">
      <c r="A3" s="37" t="s">
        <v>241</v>
      </c>
      <c r="C3" s="37" t="s">
        <v>242</v>
      </c>
    </row>
    <row r="4" spans="1:4">
      <c r="A4" s="37" t="s">
        <v>15</v>
      </c>
      <c r="B4" s="37" t="s">
        <v>243</v>
      </c>
      <c r="C4" s="37" t="s">
        <v>244</v>
      </c>
      <c r="D4" s="37" t="s">
        <v>245</v>
      </c>
    </row>
    <row r="5" spans="1:4">
      <c r="A5" s="37">
        <v>0</v>
      </c>
      <c r="B5" s="73">
        <v>1.2093</v>
      </c>
      <c r="C5" s="37">
        <v>26.34</v>
      </c>
    </row>
    <row r="6" spans="1:4">
      <c r="A6" s="37">
        <v>10</v>
      </c>
      <c r="B6" s="37">
        <v>1.2043999999999999</v>
      </c>
      <c r="C6" s="37">
        <v>26.35</v>
      </c>
    </row>
    <row r="7" spans="1:4">
      <c r="A7" s="37">
        <v>15</v>
      </c>
      <c r="B7" s="37">
        <v>1.204</v>
      </c>
      <c r="C7" s="37">
        <v>26.4</v>
      </c>
    </row>
    <row r="8" spans="1:4">
      <c r="A8" s="37">
        <v>20</v>
      </c>
      <c r="B8" s="37">
        <v>1.1999</v>
      </c>
      <c r="C8" s="37">
        <v>26.43</v>
      </c>
    </row>
    <row r="9" spans="1:4">
      <c r="A9" s="37">
        <v>25</v>
      </c>
      <c r="B9" s="37">
        <v>1.1978</v>
      </c>
      <c r="C9" s="37">
        <v>26.48</v>
      </c>
    </row>
    <row r="10" spans="1:4">
      <c r="A10" s="37">
        <v>30</v>
      </c>
      <c r="B10" s="37">
        <v>1.1957</v>
      </c>
      <c r="C10" s="37">
        <v>26.56</v>
      </c>
    </row>
    <row r="11" spans="1:4">
      <c r="A11" s="37">
        <v>40</v>
      </c>
      <c r="B11" s="37">
        <v>1.1914</v>
      </c>
      <c r="C11" s="37">
        <v>26.71</v>
      </c>
    </row>
    <row r="12" spans="1:4">
      <c r="A12" s="37"/>
      <c r="C12" s="37"/>
    </row>
    <row r="13" spans="1:4">
      <c r="A13" s="37"/>
      <c r="C13" s="37"/>
    </row>
    <row r="14" spans="1:4">
      <c r="A14" s="37"/>
      <c r="C14" s="37"/>
    </row>
    <row r="15" spans="1:4">
      <c r="A15" s="37"/>
      <c r="C15" s="37"/>
    </row>
    <row r="16" spans="1:4">
      <c r="A16" s="37"/>
      <c r="C16" s="37"/>
    </row>
    <row r="17" spans="1:9">
      <c r="A17" s="37"/>
      <c r="C17" s="37"/>
      <c r="G17" s="37" t="s">
        <v>247</v>
      </c>
    </row>
    <row r="18" spans="1:9">
      <c r="A18" s="37"/>
      <c r="C18" s="37"/>
    </row>
    <row r="20" spans="1:9">
      <c r="A20" s="37" t="s">
        <v>235</v>
      </c>
      <c r="B20" s="37" t="s">
        <v>246</v>
      </c>
      <c r="C20" s="37" t="s">
        <v>237</v>
      </c>
      <c r="E20" s="37" t="s">
        <v>236</v>
      </c>
      <c r="G20" s="37" t="s">
        <v>248</v>
      </c>
      <c r="I20" s="37" t="s">
        <v>249</v>
      </c>
    </row>
    <row r="21" spans="1:9">
      <c r="A21">
        <v>15</v>
      </c>
      <c r="B21">
        <v>0.26400000000000001</v>
      </c>
      <c r="C21" cm="1">
        <f t="array" ref="C21">viscsatliqTW(A21+273.15)*1000</f>
        <v>1.13761913738686</v>
      </c>
      <c r="E21">
        <f>B21/((1-B21)*$B$1)</f>
        <v>6.1375297670193705</v>
      </c>
      <c r="G21">
        <f>1+0.0816*E21-0.0122*E21^2+0.000128*E21^3+0.000629*A21*(1-EXP(-0.7*E21))</f>
        <v>1.0801569406452425</v>
      </c>
      <c r="I21">
        <f>C21*G21</f>
        <v>1.2288072070592706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82"/>
  <sheetViews>
    <sheetView workbookViewId="0">
      <selection activeCell="H50" sqref="H50:Q62"/>
    </sheetView>
  </sheetViews>
  <sheetFormatPr baseColWidth="10" defaultRowHeight="13"/>
  <sheetData>
    <row r="1" spans="1:17">
      <c r="A1" t="s">
        <v>71</v>
      </c>
    </row>
    <row r="2" spans="1:17">
      <c r="A2" t="s">
        <v>31</v>
      </c>
      <c r="B2">
        <v>315</v>
      </c>
      <c r="C2" t="s">
        <v>6</v>
      </c>
    </row>
    <row r="3" spans="1:17">
      <c r="A3" t="s">
        <v>32</v>
      </c>
      <c r="B3" s="43" t="e">
        <f>'Saturated Water'!#REF!</f>
        <v>#REF!</v>
      </c>
      <c r="C3" t="s">
        <v>72</v>
      </c>
    </row>
    <row r="4" spans="1:17">
      <c r="B4" t="s">
        <v>75</v>
      </c>
      <c r="C4" t="s">
        <v>76</v>
      </c>
    </row>
    <row r="5" spans="1:17">
      <c r="A5" t="s">
        <v>87</v>
      </c>
      <c r="B5">
        <v>0</v>
      </c>
      <c r="C5">
        <v>1</v>
      </c>
    </row>
    <row r="6" spans="1:17">
      <c r="A6" t="s">
        <v>73</v>
      </c>
      <c r="B6" t="e">
        <f>1/'Saturated Water'!#REF!</f>
        <v>#REF!</v>
      </c>
      <c r="C6" t="e">
        <f>1/'Saturated Water'!#REF!</f>
        <v>#REF!</v>
      </c>
    </row>
    <row r="7" spans="1:17">
      <c r="A7" t="s">
        <v>74</v>
      </c>
      <c r="B7" s="41" t="e">
        <f>'Saturated Water'!#REF!</f>
        <v>#REF!</v>
      </c>
      <c r="C7" s="41" t="e">
        <f>'Saturated Water'!#REF!</f>
        <v>#REF!</v>
      </c>
    </row>
    <row r="9" spans="1:17">
      <c r="A9" t="s">
        <v>77</v>
      </c>
      <c r="B9">
        <v>150</v>
      </c>
      <c r="G9" t="s">
        <v>96</v>
      </c>
      <c r="H9">
        <v>180</v>
      </c>
    </row>
    <row r="10" spans="1:17">
      <c r="A10" t="s">
        <v>78</v>
      </c>
      <c r="B10" s="41" t="e">
        <f>'Saturated Water'!#REF!</f>
        <v>#REF!</v>
      </c>
    </row>
    <row r="11" spans="1:17">
      <c r="A11" t="s">
        <v>81</v>
      </c>
      <c r="C11">
        <v>6</v>
      </c>
    </row>
    <row r="12" spans="1:17">
      <c r="A12" t="s">
        <v>82</v>
      </c>
      <c r="B12" t="s">
        <v>83</v>
      </c>
      <c r="C12">
        <v>75</v>
      </c>
    </row>
    <row r="13" spans="1:17">
      <c r="A13" t="s">
        <v>85</v>
      </c>
      <c r="B13" t="s">
        <v>84</v>
      </c>
      <c r="C13">
        <f>C11*0.25*PI()*(C12/1000)^2</f>
        <v>2.6507188014663879E-2</v>
      </c>
    </row>
    <row r="14" spans="1:17">
      <c r="G14" t="s">
        <v>128</v>
      </c>
    </row>
    <row r="15" spans="1:17">
      <c r="A15" t="s">
        <v>79</v>
      </c>
      <c r="B15" t="s">
        <v>80</v>
      </c>
      <c r="C15" s="44">
        <v>150000</v>
      </c>
      <c r="G15" t="e">
        <f>C20</f>
        <v>#VALUE!</v>
      </c>
      <c r="H15">
        <v>0.68</v>
      </c>
      <c r="I15">
        <v>0.72</v>
      </c>
      <c r="J15">
        <f t="shared" ref="J15:Q15" si="0">I15+0.02</f>
        <v>0.74</v>
      </c>
      <c r="K15">
        <f t="shared" si="0"/>
        <v>0.76</v>
      </c>
      <c r="L15">
        <f t="shared" si="0"/>
        <v>0.78</v>
      </c>
      <c r="M15">
        <f t="shared" si="0"/>
        <v>0.8</v>
      </c>
      <c r="N15">
        <f t="shared" si="0"/>
        <v>0.82000000000000006</v>
      </c>
      <c r="O15">
        <f t="shared" si="0"/>
        <v>0.84000000000000008</v>
      </c>
      <c r="P15">
        <f t="shared" si="0"/>
        <v>0.8600000000000001</v>
      </c>
      <c r="Q15">
        <f t="shared" si="0"/>
        <v>0.88000000000000012</v>
      </c>
    </row>
    <row r="16" spans="1:17">
      <c r="A16" t="s">
        <v>86</v>
      </c>
      <c r="C16" s="44">
        <v>0.7</v>
      </c>
      <c r="F16">
        <v>10000</v>
      </c>
      <c r="G16">
        <v>100000</v>
      </c>
    </row>
    <row r="17" spans="1:17">
      <c r="A17" t="s">
        <v>88</v>
      </c>
      <c r="C17" t="e">
        <f>TREND($B$6:$C$6,$B$5:$C$5,C16)</f>
        <v>#VALUE!</v>
      </c>
      <c r="G17">
        <f>G16+$F$16</f>
        <v>110000</v>
      </c>
    </row>
    <row r="18" spans="1:17">
      <c r="A18" t="s">
        <v>89</v>
      </c>
      <c r="C18" t="e">
        <f>1/C17</f>
        <v>#VALUE!</v>
      </c>
      <c r="G18">
        <f t="shared" ref="G18:G28" si="1">G17+$F$16</f>
        <v>120000</v>
      </c>
    </row>
    <row r="19" spans="1:17">
      <c r="A19" t="s">
        <v>90</v>
      </c>
      <c r="B19" t="s">
        <v>91</v>
      </c>
      <c r="C19" t="e">
        <f>C15/3600/C18/C13</f>
        <v>#VALUE!</v>
      </c>
      <c r="G19">
        <f t="shared" si="1"/>
        <v>130000</v>
      </c>
    </row>
    <row r="20" spans="1:17">
      <c r="A20" t="s">
        <v>92</v>
      </c>
      <c r="C20" t="e">
        <f>C19*SQRT(C18)</f>
        <v>#VALUE!</v>
      </c>
      <c r="G20">
        <f t="shared" si="1"/>
        <v>140000</v>
      </c>
    </row>
    <row r="21" spans="1:17">
      <c r="A21" t="s">
        <v>93</v>
      </c>
      <c r="C21" t="e">
        <f>TREND($B$7:$C$7,$B$5:$C$5,C16)</f>
        <v>#VALUE!</v>
      </c>
      <c r="G21">
        <f t="shared" si="1"/>
        <v>150000</v>
      </c>
    </row>
    <row r="22" spans="1:17">
      <c r="A22" t="s">
        <v>94</v>
      </c>
      <c r="B22" t="s">
        <v>95</v>
      </c>
      <c r="C22" t="e">
        <f>C15*(C21-B10)/1000000</f>
        <v>#VALUE!</v>
      </c>
      <c r="G22">
        <f t="shared" si="1"/>
        <v>160000</v>
      </c>
    </row>
    <row r="23" spans="1:17">
      <c r="A23" t="s">
        <v>107</v>
      </c>
      <c r="B23" t="s">
        <v>95</v>
      </c>
      <c r="C23" t="e">
        <f>C15*(C21-C27)/1000000</f>
        <v>#VALUE!</v>
      </c>
      <c r="G23">
        <f t="shared" si="1"/>
        <v>170000</v>
      </c>
    </row>
    <row r="24" spans="1:17">
      <c r="G24">
        <f t="shared" si="1"/>
        <v>180000</v>
      </c>
    </row>
    <row r="25" spans="1:17">
      <c r="G25">
        <f t="shared" si="1"/>
        <v>190000</v>
      </c>
    </row>
    <row r="26" spans="1:17">
      <c r="A26" t="s">
        <v>104</v>
      </c>
      <c r="B26" t="s">
        <v>6</v>
      </c>
      <c r="C26">
        <v>240</v>
      </c>
      <c r="G26">
        <f t="shared" si="1"/>
        <v>200000</v>
      </c>
    </row>
    <row r="27" spans="1:17">
      <c r="A27" t="s">
        <v>105</v>
      </c>
      <c r="B27" t="s">
        <v>106</v>
      </c>
      <c r="C27" s="41" t="e">
        <f>'Saturated Water'!#REF!</f>
        <v>#REF!</v>
      </c>
      <c r="G27">
        <f t="shared" si="1"/>
        <v>210000</v>
      </c>
    </row>
    <row r="28" spans="1:17">
      <c r="G28">
        <f t="shared" si="1"/>
        <v>220000</v>
      </c>
    </row>
    <row r="31" spans="1:17">
      <c r="G31" t="s">
        <v>129</v>
      </c>
      <c r="I31">
        <v>0.02</v>
      </c>
    </row>
    <row r="32" spans="1:17">
      <c r="G32" t="e">
        <f>C23</f>
        <v>#VALUE!</v>
      </c>
      <c r="H32">
        <v>0.68</v>
      </c>
      <c r="I32">
        <v>0.72</v>
      </c>
      <c r="J32">
        <f t="shared" ref="J32:Q32" si="2">I32+$I$31</f>
        <v>0.74</v>
      </c>
      <c r="K32">
        <f t="shared" si="2"/>
        <v>0.76</v>
      </c>
      <c r="L32">
        <f t="shared" si="2"/>
        <v>0.78</v>
      </c>
      <c r="M32">
        <f t="shared" si="2"/>
        <v>0.8</v>
      </c>
      <c r="N32">
        <f t="shared" si="2"/>
        <v>0.82000000000000006</v>
      </c>
      <c r="O32">
        <f t="shared" si="2"/>
        <v>0.84000000000000008</v>
      </c>
      <c r="P32">
        <f t="shared" si="2"/>
        <v>0.8600000000000001</v>
      </c>
      <c r="Q32">
        <f t="shared" si="2"/>
        <v>0.88000000000000012</v>
      </c>
    </row>
    <row r="33" spans="7:9">
      <c r="G33">
        <v>100000</v>
      </c>
    </row>
    <row r="34" spans="7:9">
      <c r="G34">
        <f>G33+$F$16</f>
        <v>110000</v>
      </c>
    </row>
    <row r="35" spans="7:9">
      <c r="G35">
        <f t="shared" ref="G35:G45" si="3">G34+$F$16</f>
        <v>120000</v>
      </c>
    </row>
    <row r="36" spans="7:9">
      <c r="G36">
        <f t="shared" si="3"/>
        <v>130000</v>
      </c>
    </row>
    <row r="37" spans="7:9">
      <c r="G37">
        <f t="shared" si="3"/>
        <v>140000</v>
      </c>
    </row>
    <row r="38" spans="7:9">
      <c r="G38">
        <f t="shared" si="3"/>
        <v>150000</v>
      </c>
    </row>
    <row r="39" spans="7:9">
      <c r="G39">
        <f t="shared" si="3"/>
        <v>160000</v>
      </c>
    </row>
    <row r="40" spans="7:9">
      <c r="G40">
        <f t="shared" si="3"/>
        <v>170000</v>
      </c>
    </row>
    <row r="41" spans="7:9">
      <c r="G41">
        <f t="shared" si="3"/>
        <v>180000</v>
      </c>
    </row>
    <row r="42" spans="7:9">
      <c r="G42">
        <f t="shared" si="3"/>
        <v>190000</v>
      </c>
    </row>
    <row r="43" spans="7:9">
      <c r="G43">
        <f t="shared" si="3"/>
        <v>200000</v>
      </c>
    </row>
    <row r="44" spans="7:9">
      <c r="G44">
        <f t="shared" si="3"/>
        <v>210000</v>
      </c>
    </row>
    <row r="45" spans="7:9">
      <c r="G45">
        <f t="shared" si="3"/>
        <v>220000</v>
      </c>
    </row>
    <row r="48" spans="7:9">
      <c r="G48" t="s">
        <v>130</v>
      </c>
      <c r="I48">
        <v>0.02</v>
      </c>
    </row>
    <row r="49" spans="7:17">
      <c r="G49" t="e">
        <f>C22</f>
        <v>#VALUE!</v>
      </c>
      <c r="H49">
        <v>0.68</v>
      </c>
      <c r="I49">
        <v>0.72</v>
      </c>
      <c r="J49">
        <f t="shared" ref="J49:Q49" si="4">I49+$I$48</f>
        <v>0.74</v>
      </c>
      <c r="K49">
        <f t="shared" si="4"/>
        <v>0.76</v>
      </c>
      <c r="L49">
        <f t="shared" si="4"/>
        <v>0.78</v>
      </c>
      <c r="M49">
        <f t="shared" si="4"/>
        <v>0.8</v>
      </c>
      <c r="N49">
        <f t="shared" si="4"/>
        <v>0.82000000000000006</v>
      </c>
      <c r="O49">
        <f t="shared" si="4"/>
        <v>0.84000000000000008</v>
      </c>
      <c r="P49">
        <f t="shared" si="4"/>
        <v>0.8600000000000001</v>
      </c>
      <c r="Q49">
        <f t="shared" si="4"/>
        <v>0.88000000000000012</v>
      </c>
    </row>
    <row r="50" spans="7:17">
      <c r="G50">
        <v>100000</v>
      </c>
    </row>
    <row r="51" spans="7:17">
      <c r="G51">
        <f>G50+$F$16</f>
        <v>110000</v>
      </c>
    </row>
    <row r="52" spans="7:17">
      <c r="G52">
        <f t="shared" ref="G52:G62" si="5">G51+$F$16</f>
        <v>120000</v>
      </c>
    </row>
    <row r="53" spans="7:17">
      <c r="G53">
        <f t="shared" si="5"/>
        <v>130000</v>
      </c>
    </row>
    <row r="54" spans="7:17">
      <c r="G54">
        <f t="shared" si="5"/>
        <v>140000</v>
      </c>
    </row>
    <row r="55" spans="7:17">
      <c r="G55">
        <f t="shared" si="5"/>
        <v>150000</v>
      </c>
    </row>
    <row r="56" spans="7:17">
      <c r="G56">
        <f t="shared" si="5"/>
        <v>160000</v>
      </c>
    </row>
    <row r="57" spans="7:17">
      <c r="G57">
        <f t="shared" si="5"/>
        <v>170000</v>
      </c>
    </row>
    <row r="58" spans="7:17">
      <c r="G58">
        <f t="shared" si="5"/>
        <v>180000</v>
      </c>
    </row>
    <row r="59" spans="7:17">
      <c r="G59">
        <f t="shared" si="5"/>
        <v>190000</v>
      </c>
    </row>
    <row r="60" spans="7:17">
      <c r="G60">
        <f t="shared" si="5"/>
        <v>200000</v>
      </c>
    </row>
    <row r="61" spans="7:17">
      <c r="G61">
        <f t="shared" si="5"/>
        <v>210000</v>
      </c>
    </row>
    <row r="62" spans="7:17">
      <c r="G62">
        <f t="shared" si="5"/>
        <v>220000</v>
      </c>
    </row>
    <row r="70" spans="6:24">
      <c r="S70" t="s">
        <v>132</v>
      </c>
      <c r="T70" t="s">
        <v>133</v>
      </c>
      <c r="V70" t="s">
        <v>134</v>
      </c>
      <c r="W70" t="s">
        <v>133</v>
      </c>
      <c r="X70" t="s">
        <v>135</v>
      </c>
    </row>
    <row r="71" spans="6:24">
      <c r="G71" t="s">
        <v>108</v>
      </c>
      <c r="H71">
        <v>0.68</v>
      </c>
      <c r="I71">
        <v>0.72</v>
      </c>
      <c r="J71">
        <f t="shared" ref="J71:Q71" si="6">J32</f>
        <v>0.74</v>
      </c>
      <c r="K71">
        <f t="shared" si="6"/>
        <v>0.76</v>
      </c>
      <c r="L71">
        <f t="shared" si="6"/>
        <v>0.78</v>
      </c>
      <c r="M71">
        <f t="shared" si="6"/>
        <v>0.8</v>
      </c>
      <c r="N71">
        <f t="shared" si="6"/>
        <v>0.82000000000000006</v>
      </c>
      <c r="O71">
        <f t="shared" si="6"/>
        <v>0.84000000000000008</v>
      </c>
      <c r="P71">
        <f t="shared" si="6"/>
        <v>0.8600000000000001</v>
      </c>
      <c r="Q71">
        <f t="shared" si="6"/>
        <v>0.88000000000000012</v>
      </c>
    </row>
    <row r="72" spans="6:24">
      <c r="F72" t="s">
        <v>97</v>
      </c>
      <c r="G72" t="s">
        <v>98</v>
      </c>
      <c r="H72">
        <f>H38</f>
        <v>0</v>
      </c>
      <c r="I72">
        <f t="shared" ref="I72:Q72" si="7">I38</f>
        <v>0</v>
      </c>
      <c r="J72">
        <f t="shared" si="7"/>
        <v>0</v>
      </c>
      <c r="K72">
        <f t="shared" si="7"/>
        <v>0</v>
      </c>
      <c r="L72">
        <f t="shared" si="7"/>
        <v>0</v>
      </c>
      <c r="M72">
        <f t="shared" si="7"/>
        <v>0</v>
      </c>
      <c r="N72">
        <f t="shared" si="7"/>
        <v>0</v>
      </c>
      <c r="O72">
        <f t="shared" si="7"/>
        <v>0</v>
      </c>
      <c r="P72">
        <f t="shared" si="7"/>
        <v>0</v>
      </c>
      <c r="Q72" s="44">
        <f t="shared" si="7"/>
        <v>0</v>
      </c>
      <c r="S72">
        <f>Q72</f>
        <v>0</v>
      </c>
      <c r="T72">
        <f>S72-$S$72</f>
        <v>0</v>
      </c>
      <c r="U72" s="45" t="e">
        <f>T72/S72</f>
        <v>#DIV/0!</v>
      </c>
      <c r="V72">
        <f>P72</f>
        <v>0</v>
      </c>
      <c r="W72">
        <f>V72-$V$72</f>
        <v>0</v>
      </c>
      <c r="X72" s="45" t="e">
        <f>W72/V72</f>
        <v>#DIV/0!</v>
      </c>
    </row>
    <row r="73" spans="6:24">
      <c r="G73" t="s">
        <v>99</v>
      </c>
      <c r="H73">
        <f>H21</f>
        <v>0</v>
      </c>
      <c r="I73">
        <f t="shared" ref="I73:Q73" si="8">I21</f>
        <v>0</v>
      </c>
      <c r="J73">
        <f t="shared" si="8"/>
        <v>0</v>
      </c>
      <c r="K73">
        <f t="shared" si="8"/>
        <v>0</v>
      </c>
      <c r="L73">
        <f t="shared" si="8"/>
        <v>0</v>
      </c>
      <c r="M73">
        <f t="shared" si="8"/>
        <v>0</v>
      </c>
      <c r="N73">
        <f t="shared" si="8"/>
        <v>0</v>
      </c>
      <c r="O73">
        <f t="shared" si="8"/>
        <v>0</v>
      </c>
      <c r="P73">
        <f t="shared" si="8"/>
        <v>0</v>
      </c>
      <c r="Q73" s="44">
        <f t="shared" si="8"/>
        <v>0</v>
      </c>
      <c r="S73">
        <f t="shared" ref="S73:S74" si="9">Q73</f>
        <v>0</v>
      </c>
      <c r="U73" s="45" t="e">
        <f t="shared" ref="U73:U74" si="10">T73/S73</f>
        <v>#DIV/0!</v>
      </c>
      <c r="V73">
        <f t="shared" ref="V73:V74" si="11">P73</f>
        <v>0</v>
      </c>
      <c r="W73">
        <f>V73-$V$73</f>
        <v>0</v>
      </c>
      <c r="X73" s="45" t="e">
        <f t="shared" ref="X73:X74" si="12">W73/V73</f>
        <v>#DIV/0!</v>
      </c>
    </row>
    <row r="74" spans="6:24">
      <c r="G74" t="s">
        <v>131</v>
      </c>
      <c r="H74">
        <f>H55</f>
        <v>0</v>
      </c>
      <c r="I74">
        <f t="shared" ref="I74:Q74" si="13">I55</f>
        <v>0</v>
      </c>
      <c r="J74">
        <f t="shared" si="13"/>
        <v>0</v>
      </c>
      <c r="K74">
        <f t="shared" si="13"/>
        <v>0</v>
      </c>
      <c r="L74">
        <f t="shared" si="13"/>
        <v>0</v>
      </c>
      <c r="M74">
        <f t="shared" si="13"/>
        <v>0</v>
      </c>
      <c r="N74">
        <f t="shared" si="13"/>
        <v>0</v>
      </c>
      <c r="O74">
        <f t="shared" si="13"/>
        <v>0</v>
      </c>
      <c r="P74">
        <f t="shared" si="13"/>
        <v>0</v>
      </c>
      <c r="Q74" s="44">
        <f t="shared" si="13"/>
        <v>0</v>
      </c>
      <c r="S74">
        <f t="shared" si="9"/>
        <v>0</v>
      </c>
      <c r="T74">
        <f>S74-$S$74</f>
        <v>0</v>
      </c>
      <c r="U74" s="45" t="e">
        <f t="shared" si="10"/>
        <v>#DIV/0!</v>
      </c>
      <c r="V74">
        <f t="shared" si="11"/>
        <v>0</v>
      </c>
      <c r="W74">
        <f>V74-$V$74</f>
        <v>0</v>
      </c>
      <c r="X74" s="45" t="e">
        <f t="shared" si="12"/>
        <v>#DIV/0!</v>
      </c>
    </row>
    <row r="76" spans="6:24">
      <c r="F76" t="s">
        <v>100</v>
      </c>
      <c r="G76" t="s">
        <v>98</v>
      </c>
      <c r="H76">
        <f>H39</f>
        <v>0</v>
      </c>
      <c r="I76">
        <f t="shared" ref="I76:Q76" si="14">I39</f>
        <v>0</v>
      </c>
      <c r="J76" s="33">
        <f t="shared" si="14"/>
        <v>0</v>
      </c>
      <c r="K76">
        <f t="shared" si="14"/>
        <v>0</v>
      </c>
      <c r="L76" s="44">
        <f t="shared" si="14"/>
        <v>0</v>
      </c>
      <c r="M76">
        <f t="shared" si="14"/>
        <v>0</v>
      </c>
      <c r="N76">
        <f t="shared" si="14"/>
        <v>0</v>
      </c>
      <c r="O76">
        <f t="shared" si="14"/>
        <v>0</v>
      </c>
      <c r="P76">
        <f t="shared" si="14"/>
        <v>0</v>
      </c>
      <c r="Q76">
        <f t="shared" si="14"/>
        <v>0</v>
      </c>
      <c r="S76">
        <f>L76</f>
        <v>0</v>
      </c>
      <c r="T76">
        <f>S76-$S$72</f>
        <v>0</v>
      </c>
      <c r="U76" s="45" t="e">
        <f>T76/S76</f>
        <v>#DIV/0!</v>
      </c>
      <c r="V76">
        <f>AVERAGE(K76:L76)</f>
        <v>0</v>
      </c>
      <c r="W76">
        <f>V76-$V$72</f>
        <v>0</v>
      </c>
      <c r="X76" s="45" t="e">
        <f>W76/V76</f>
        <v>#DIV/0!</v>
      </c>
    </row>
    <row r="77" spans="6:24">
      <c r="G77" t="s">
        <v>102</v>
      </c>
      <c r="H77">
        <f>H22</f>
        <v>0</v>
      </c>
      <c r="I77">
        <f t="shared" ref="I77:Q77" si="15">I22</f>
        <v>0</v>
      </c>
      <c r="J77">
        <f t="shared" si="15"/>
        <v>0</v>
      </c>
      <c r="K77">
        <f t="shared" si="15"/>
        <v>0</v>
      </c>
      <c r="L77" s="44">
        <f t="shared" si="15"/>
        <v>0</v>
      </c>
      <c r="M77">
        <f t="shared" si="15"/>
        <v>0</v>
      </c>
      <c r="N77">
        <f t="shared" si="15"/>
        <v>0</v>
      </c>
      <c r="O77">
        <f t="shared" si="15"/>
        <v>0</v>
      </c>
      <c r="P77">
        <f t="shared" si="15"/>
        <v>0</v>
      </c>
      <c r="Q77">
        <f t="shared" si="15"/>
        <v>0</v>
      </c>
      <c r="S77">
        <f t="shared" ref="S77:S78" si="16">L77</f>
        <v>0</v>
      </c>
      <c r="U77" s="45" t="e">
        <f t="shared" ref="U77:U78" si="17">T77/S77</f>
        <v>#DIV/0!</v>
      </c>
      <c r="V77">
        <f t="shared" ref="V77:V78" si="18">AVERAGE(K77:L77)</f>
        <v>0</v>
      </c>
      <c r="W77">
        <f>V77-$V$73</f>
        <v>0</v>
      </c>
      <c r="X77" s="45" t="e">
        <f t="shared" ref="X77:X78" si="19">W77/V77</f>
        <v>#DIV/0!</v>
      </c>
    </row>
    <row r="78" spans="6:24">
      <c r="G78" t="s">
        <v>131</v>
      </c>
      <c r="H78">
        <f>H56</f>
        <v>0</v>
      </c>
      <c r="I78">
        <f t="shared" ref="I78:Q78" si="20">I56</f>
        <v>0</v>
      </c>
      <c r="J78">
        <f t="shared" si="20"/>
        <v>0</v>
      </c>
      <c r="K78">
        <f t="shared" si="20"/>
        <v>0</v>
      </c>
      <c r="L78" s="44">
        <f t="shared" si="20"/>
        <v>0</v>
      </c>
      <c r="M78">
        <f t="shared" si="20"/>
        <v>0</v>
      </c>
      <c r="N78">
        <f t="shared" si="20"/>
        <v>0</v>
      </c>
      <c r="O78">
        <f t="shared" si="20"/>
        <v>0</v>
      </c>
      <c r="P78">
        <f t="shared" si="20"/>
        <v>0</v>
      </c>
      <c r="Q78">
        <f t="shared" si="20"/>
        <v>0</v>
      </c>
      <c r="S78">
        <f t="shared" si="16"/>
        <v>0</v>
      </c>
      <c r="T78">
        <f>S78-$S$74</f>
        <v>0</v>
      </c>
      <c r="U78" s="45" t="e">
        <f t="shared" si="17"/>
        <v>#DIV/0!</v>
      </c>
      <c r="V78">
        <f t="shared" si="18"/>
        <v>0</v>
      </c>
      <c r="W78">
        <f>V78-$V$74</f>
        <v>0</v>
      </c>
      <c r="X78" s="45" t="e">
        <f t="shared" si="19"/>
        <v>#DIV/0!</v>
      </c>
    </row>
    <row r="80" spans="6:24">
      <c r="F80" t="s">
        <v>101</v>
      </c>
      <c r="G80" t="s">
        <v>98</v>
      </c>
      <c r="H80" s="44">
        <f>H40</f>
        <v>0</v>
      </c>
      <c r="I80">
        <f t="shared" ref="I80:Q80" si="21">I40</f>
        <v>0</v>
      </c>
      <c r="J80">
        <f t="shared" si="21"/>
        <v>0</v>
      </c>
      <c r="K80">
        <f t="shared" si="21"/>
        <v>0</v>
      </c>
      <c r="L80">
        <f t="shared" si="21"/>
        <v>0</v>
      </c>
      <c r="M80">
        <f t="shared" si="21"/>
        <v>0</v>
      </c>
      <c r="N80">
        <f t="shared" si="21"/>
        <v>0</v>
      </c>
      <c r="O80">
        <f t="shared" si="21"/>
        <v>0</v>
      </c>
      <c r="P80">
        <f t="shared" si="21"/>
        <v>0</v>
      </c>
      <c r="Q80">
        <f t="shared" si="21"/>
        <v>0</v>
      </c>
      <c r="S80">
        <f>H80</f>
        <v>0</v>
      </c>
      <c r="T80">
        <f>S80-$S$72</f>
        <v>0</v>
      </c>
      <c r="U80" s="45" t="e">
        <f>T80/S80</f>
        <v>#DIV/0!</v>
      </c>
      <c r="V80">
        <f>H80</f>
        <v>0</v>
      </c>
      <c r="W80">
        <f>V80-$V$72</f>
        <v>0</v>
      </c>
      <c r="X80" s="45" t="e">
        <f>W80/V80</f>
        <v>#DIV/0!</v>
      </c>
    </row>
    <row r="81" spans="7:24">
      <c r="G81" t="s">
        <v>103</v>
      </c>
      <c r="H81" s="44">
        <f>H23</f>
        <v>0</v>
      </c>
      <c r="I81">
        <f t="shared" ref="I81:Q81" si="22">I23</f>
        <v>0</v>
      </c>
      <c r="J81">
        <f t="shared" si="22"/>
        <v>0</v>
      </c>
      <c r="K81">
        <f t="shared" si="22"/>
        <v>0</v>
      </c>
      <c r="L81">
        <f t="shared" si="22"/>
        <v>0</v>
      </c>
      <c r="M81">
        <f t="shared" si="22"/>
        <v>0</v>
      </c>
      <c r="N81">
        <f t="shared" si="22"/>
        <v>0</v>
      </c>
      <c r="O81">
        <f t="shared" si="22"/>
        <v>0</v>
      </c>
      <c r="P81">
        <f t="shared" si="22"/>
        <v>0</v>
      </c>
      <c r="Q81">
        <f t="shared" si="22"/>
        <v>0</v>
      </c>
      <c r="S81">
        <f t="shared" ref="S81:S82" si="23">H81</f>
        <v>0</v>
      </c>
      <c r="U81" s="45" t="e">
        <f t="shared" ref="U81:U82" si="24">T81/S81</f>
        <v>#DIV/0!</v>
      </c>
      <c r="V81">
        <f t="shared" ref="V81:V82" si="25">H81</f>
        <v>0</v>
      </c>
      <c r="W81">
        <f>V81-$V$73</f>
        <v>0</v>
      </c>
      <c r="X81" s="45" t="e">
        <f t="shared" ref="X81:X82" si="26">W81/V81</f>
        <v>#DIV/0!</v>
      </c>
    </row>
    <row r="82" spans="7:24">
      <c r="G82" t="s">
        <v>131</v>
      </c>
      <c r="H82" s="44">
        <f>H57</f>
        <v>0</v>
      </c>
      <c r="I82">
        <f t="shared" ref="I82:Q82" si="27">I57</f>
        <v>0</v>
      </c>
      <c r="J82">
        <f t="shared" si="27"/>
        <v>0</v>
      </c>
      <c r="K82">
        <f t="shared" si="27"/>
        <v>0</v>
      </c>
      <c r="L82">
        <f t="shared" si="27"/>
        <v>0</v>
      </c>
      <c r="M82">
        <f t="shared" si="27"/>
        <v>0</v>
      </c>
      <c r="N82">
        <f t="shared" si="27"/>
        <v>0</v>
      </c>
      <c r="O82">
        <f t="shared" si="27"/>
        <v>0</v>
      </c>
      <c r="P82">
        <f t="shared" si="27"/>
        <v>0</v>
      </c>
      <c r="Q82">
        <f t="shared" si="27"/>
        <v>0</v>
      </c>
      <c r="S82">
        <f t="shared" si="23"/>
        <v>0</v>
      </c>
      <c r="T82">
        <f>S82-$S$74</f>
        <v>0</v>
      </c>
      <c r="U82" s="45" t="e">
        <f t="shared" si="24"/>
        <v>#DIV/0!</v>
      </c>
      <c r="V82">
        <f t="shared" si="25"/>
        <v>0</v>
      </c>
      <c r="W82">
        <f>V82-$V$74</f>
        <v>0</v>
      </c>
      <c r="X82" s="45" t="e">
        <f t="shared" si="26"/>
        <v>#DIV/0!</v>
      </c>
    </row>
  </sheetData>
  <conditionalFormatting sqref="H16:Q28">
    <cfRule type="cellIs" dxfId="9" priority="3" operator="greaterThan">
      <formula>$H$9</formula>
    </cfRule>
  </conditionalFormatting>
  <conditionalFormatting sqref="H33:Q45">
    <cfRule type="cellIs" dxfId="8" priority="2" operator="greaterThan">
      <formula>$H$9</formula>
    </cfRule>
  </conditionalFormatting>
  <conditionalFormatting sqref="H50:Q62">
    <cfRule type="cellIs" dxfId="7" priority="1" operator="greaterThan">
      <formula>$H$9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DC1D7-AEAC-AC4E-8183-1C62BCDFD5E6}">
  <sheetPr codeName="Sheet9"/>
  <dimension ref="A1:T22"/>
  <sheetViews>
    <sheetView workbookViewId="0">
      <selection activeCell="K11" sqref="K11"/>
    </sheetView>
  </sheetViews>
  <sheetFormatPr baseColWidth="10" defaultRowHeight="13"/>
  <sheetData>
    <row r="1" spans="1:20">
      <c r="A1" t="s">
        <v>202</v>
      </c>
    </row>
    <row r="2" spans="1:20">
      <c r="D2" s="72">
        <v>0.3</v>
      </c>
    </row>
    <row r="3" spans="1:20">
      <c r="A3" t="s">
        <v>203</v>
      </c>
      <c r="B3" t="s">
        <v>15</v>
      </c>
      <c r="C3" t="s">
        <v>151</v>
      </c>
      <c r="D3" t="s">
        <v>204</v>
      </c>
      <c r="E3" t="s">
        <v>205</v>
      </c>
      <c r="F3" t="s">
        <v>74</v>
      </c>
      <c r="G3" t="s">
        <v>31</v>
      </c>
      <c r="I3" t="s">
        <v>78</v>
      </c>
      <c r="J3" t="s">
        <v>77</v>
      </c>
      <c r="K3" t="s">
        <v>93</v>
      </c>
      <c r="L3" t="s">
        <v>206</v>
      </c>
      <c r="M3" t="s">
        <v>220</v>
      </c>
      <c r="Q3" t="s">
        <v>214</v>
      </c>
      <c r="R3" t="s">
        <v>215</v>
      </c>
      <c r="S3" t="s">
        <v>216</v>
      </c>
      <c r="T3" t="s">
        <v>217</v>
      </c>
    </row>
    <row r="4" spans="1:20">
      <c r="A4">
        <v>4200</v>
      </c>
      <c r="B4">
        <v>400</v>
      </c>
      <c r="C4">
        <f>enthalpyw(B4+273.15,A4/100)</f>
        <v>3210.8652465749419</v>
      </c>
      <c r="D4" s="72">
        <f>D2</f>
        <v>0.3</v>
      </c>
      <c r="E4">
        <v>400</v>
      </c>
      <c r="F4">
        <f>get_turbine_exhaust_h(C4,B4+273,A4/100,E4/100,D4)</f>
        <v>3050.1150854583907</v>
      </c>
      <c r="G4">
        <f>have_H_get_T(F4,E4/100)-273</f>
        <v>291.86348130520025</v>
      </c>
      <c r="I4">
        <f>C4</f>
        <v>3210.8652465749419</v>
      </c>
      <c r="J4">
        <f>B4</f>
        <v>400</v>
      </c>
      <c r="K4">
        <f>F4</f>
        <v>3050.1150854583907</v>
      </c>
      <c r="L4">
        <f>G4</f>
        <v>291.86348130520025</v>
      </c>
      <c r="M4">
        <f>I4-K4</f>
        <v>160.75016111655123</v>
      </c>
      <c r="N4">
        <f>isentropic_coeffW(B4+273,A4/100)</f>
        <v>1.285397554736732</v>
      </c>
      <c r="O4">
        <f>N4/(N4+1)</f>
        <v>0.56243936730946775</v>
      </c>
      <c r="P4">
        <f>N4/(N4-1)</f>
        <v>4.5038842604046154</v>
      </c>
      <c r="Q4">
        <f>(N4-1)/N4</f>
        <v>0.22203057231984974</v>
      </c>
      <c r="R4">
        <f>A4/E4</f>
        <v>10.5</v>
      </c>
      <c r="S4">
        <f>R4^Q4</f>
        <v>1.6855251788524375</v>
      </c>
      <c r="T4">
        <f>(B4-G4)/(273+B4)</f>
        <v>0.16067833387043054</v>
      </c>
    </row>
    <row r="5" spans="1:20">
      <c r="A5">
        <v>4200</v>
      </c>
      <c r="B5">
        <v>380</v>
      </c>
      <c r="C5">
        <f t="shared" ref="C5:C6" si="0">enthalpyw(B5+273.15,A5/100)</f>
        <v>3162.8014962283396</v>
      </c>
      <c r="D5" s="72">
        <f>D4</f>
        <v>0.3</v>
      </c>
      <c r="E5">
        <v>400</v>
      </c>
      <c r="F5">
        <f t="shared" ref="F5:F6" si="1">get_turbine_exhaust_h(C5,B5+273,A5/100,E5/100,D5)</f>
        <v>3007.4042303026663</v>
      </c>
      <c r="G5">
        <f t="shared" ref="G5:G6" si="2">have_H_get_T(F5,E5/100)-273</f>
        <v>271.03092459720222</v>
      </c>
      <c r="I5">
        <f t="shared" ref="I5:I6" si="3">C5</f>
        <v>3162.8014962283396</v>
      </c>
      <c r="J5">
        <f t="shared" ref="J5:J6" si="4">B5</f>
        <v>380</v>
      </c>
      <c r="K5">
        <f t="shared" ref="K5:K6" si="5">F5</f>
        <v>3007.4042303026663</v>
      </c>
      <c r="L5">
        <f t="shared" ref="L5:L6" si="6">G5</f>
        <v>271.03092459720222</v>
      </c>
      <c r="M5">
        <f t="shared" ref="M5:M6" si="7">I5-K5</f>
        <v>155.39726592567331</v>
      </c>
    </row>
    <row r="6" spans="1:20">
      <c r="A6">
        <v>4200</v>
      </c>
      <c r="B6">
        <v>360</v>
      </c>
      <c r="C6">
        <f t="shared" si="0"/>
        <v>3113.6926228164157</v>
      </c>
      <c r="D6" s="72">
        <f t="shared" ref="D6" si="8">D5</f>
        <v>0.3</v>
      </c>
      <c r="E6">
        <v>400</v>
      </c>
      <c r="F6">
        <f t="shared" si="1"/>
        <v>2963.4758002863832</v>
      </c>
      <c r="G6">
        <f t="shared" si="2"/>
        <v>249.62411182016933</v>
      </c>
      <c r="I6">
        <f t="shared" si="3"/>
        <v>3113.6926228164157</v>
      </c>
      <c r="J6">
        <f t="shared" si="4"/>
        <v>360</v>
      </c>
      <c r="K6">
        <f t="shared" si="5"/>
        <v>2963.4758002863832</v>
      </c>
      <c r="L6">
        <f t="shared" si="6"/>
        <v>249.62411182016933</v>
      </c>
      <c r="M6">
        <f t="shared" si="7"/>
        <v>150.21682253003246</v>
      </c>
    </row>
    <row r="7" spans="1:20">
      <c r="D7" s="72"/>
    </row>
    <row r="8" spans="1:20">
      <c r="D8" s="72"/>
    </row>
    <row r="9" spans="1:20">
      <c r="D9" t="s">
        <v>207</v>
      </c>
      <c r="E9" t="s">
        <v>208</v>
      </c>
      <c r="F9" t="s">
        <v>221</v>
      </c>
      <c r="G9" t="s">
        <v>222</v>
      </c>
      <c r="H9" t="s">
        <v>220</v>
      </c>
      <c r="K9" t="s">
        <v>223</v>
      </c>
    </row>
    <row r="10" spans="1:20">
      <c r="D10" s="72">
        <v>1</v>
      </c>
      <c r="E10">
        <v>0.63</v>
      </c>
      <c r="F10">
        <v>638</v>
      </c>
      <c r="G10">
        <v>0.63429999999999997</v>
      </c>
      <c r="K10" t="s">
        <v>224</v>
      </c>
    </row>
    <row r="11" spans="1:20">
      <c r="D11" s="72">
        <v>0.8</v>
      </c>
      <c r="E11">
        <v>0.71</v>
      </c>
      <c r="F11">
        <v>511</v>
      </c>
      <c r="G11">
        <v>0.70750000000000002</v>
      </c>
    </row>
    <row r="12" spans="1:20">
      <c r="D12" s="72">
        <v>0.5</v>
      </c>
      <c r="E12">
        <v>0.82</v>
      </c>
    </row>
    <row r="13" spans="1:20">
      <c r="D13" s="72">
        <v>0.3</v>
      </c>
      <c r="E13">
        <v>0.89</v>
      </c>
      <c r="F13">
        <v>101.5</v>
      </c>
      <c r="G13">
        <v>0.89029999999999998</v>
      </c>
    </row>
    <row r="14" spans="1:20">
      <c r="D14" s="72">
        <v>0.01</v>
      </c>
      <c r="E14">
        <v>0.996</v>
      </c>
    </row>
    <row r="16" spans="1:20">
      <c r="D16" t="s">
        <v>209</v>
      </c>
    </row>
    <row r="17" spans="4:4">
      <c r="D17" t="s">
        <v>210</v>
      </c>
    </row>
    <row r="18" spans="4:4">
      <c r="D18" t="s">
        <v>211</v>
      </c>
    </row>
    <row r="19" spans="4:4">
      <c r="D19" t="s">
        <v>212</v>
      </c>
    </row>
    <row r="20" spans="4:4">
      <c r="D20" t="s">
        <v>213</v>
      </c>
    </row>
    <row r="21" spans="4:4">
      <c r="D21" t="s">
        <v>218</v>
      </c>
    </row>
    <row r="22" spans="4:4">
      <c r="D22" t="s">
        <v>219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8E0E1-03B3-EB49-BA26-E7A4D382D3A3}">
  <sheetPr codeName="Sheet10"/>
  <dimension ref="A1:R21"/>
  <sheetViews>
    <sheetView zoomScale="95" workbookViewId="0">
      <selection activeCell="D16" sqref="D16"/>
    </sheetView>
  </sheetViews>
  <sheetFormatPr baseColWidth="10" defaultRowHeight="13"/>
  <sheetData>
    <row r="1" spans="1:18">
      <c r="A1" t="s">
        <v>202</v>
      </c>
    </row>
    <row r="2" spans="1:18">
      <c r="A2" t="s">
        <v>225</v>
      </c>
    </row>
    <row r="4" spans="1:18">
      <c r="A4" t="s">
        <v>230</v>
      </c>
      <c r="B4">
        <v>115</v>
      </c>
    </row>
    <row r="5" spans="1:18">
      <c r="A5" t="s">
        <v>74</v>
      </c>
      <c r="B5">
        <f>enthalpysatliqTW(B4+273.15)</f>
        <v>482.55280984442624</v>
      </c>
    </row>
    <row r="6" spans="1:18">
      <c r="O6" t="s">
        <v>231</v>
      </c>
      <c r="P6">
        <v>1000000</v>
      </c>
    </row>
    <row r="8" spans="1:18">
      <c r="D8" s="72"/>
    </row>
    <row r="9" spans="1:18">
      <c r="A9" t="s">
        <v>203</v>
      </c>
      <c r="B9" t="s">
        <v>15</v>
      </c>
      <c r="C9" t="s">
        <v>151</v>
      </c>
      <c r="D9" t="s">
        <v>204</v>
      </c>
      <c r="E9" t="s">
        <v>205</v>
      </c>
      <c r="F9" t="s">
        <v>74</v>
      </c>
      <c r="G9" t="s">
        <v>31</v>
      </c>
      <c r="H9" t="s">
        <v>108</v>
      </c>
      <c r="I9" t="s">
        <v>78</v>
      </c>
      <c r="J9" t="s">
        <v>77</v>
      </c>
      <c r="K9" t="s">
        <v>93</v>
      </c>
      <c r="L9" t="s">
        <v>206</v>
      </c>
      <c r="M9" t="s">
        <v>220</v>
      </c>
      <c r="N9" t="s">
        <v>227</v>
      </c>
      <c r="P9" t="s">
        <v>232</v>
      </c>
      <c r="Q9" t="s">
        <v>233</v>
      </c>
      <c r="R9" t="s">
        <v>234</v>
      </c>
    </row>
    <row r="10" spans="1:18">
      <c r="A10">
        <v>5000</v>
      </c>
      <c r="B10">
        <v>520</v>
      </c>
      <c r="C10">
        <f>enthalpyw(B10+273.15,A10/100)</f>
        <v>3481.0600191380759</v>
      </c>
      <c r="D10" s="72">
        <v>0.85</v>
      </c>
      <c r="E10">
        <v>500</v>
      </c>
      <c r="F10">
        <f>get_turbine_exhaust_h(C10,B10+273,A10/100,E10/100,D10)</f>
        <v>2939.9842785609476</v>
      </c>
      <c r="G10">
        <f>have_H_get_T(F10,E10/100)-273</f>
        <v>239.99290840274796</v>
      </c>
      <c r="H10" s="45" t="str">
        <f>calc_quality(F10,E10/100)</f>
        <v>SH Vap</v>
      </c>
      <c r="I10">
        <f>C10</f>
        <v>3481.0600191380759</v>
      </c>
      <c r="J10">
        <f>B10</f>
        <v>520</v>
      </c>
      <c r="K10">
        <f>F10</f>
        <v>2939.9842785609476</v>
      </c>
      <c r="L10">
        <f>G10</f>
        <v>239.99290840274796</v>
      </c>
      <c r="M10">
        <f>I10-K10</f>
        <v>541.07574057712827</v>
      </c>
      <c r="N10">
        <f>M10+M15</f>
        <v>969.2724798716331</v>
      </c>
      <c r="P10">
        <f>C10-$B$5</f>
        <v>2998.5072092936498</v>
      </c>
      <c r="Q10">
        <f>$P$6/P10</f>
        <v>333.49928154268713</v>
      </c>
      <c r="R10">
        <f>Q10*N10</f>
        <v>323251.67565628828</v>
      </c>
    </row>
    <row r="11" spans="1:18">
      <c r="A11">
        <f>A10+1500</f>
        <v>6500</v>
      </c>
      <c r="B11">
        <f>B10</f>
        <v>520</v>
      </c>
      <c r="C11">
        <f t="shared" ref="C11:C12" si="0">enthalpyw(B11+273.15,A11/100)</f>
        <v>3465.0063737350492</v>
      </c>
      <c r="D11" s="72">
        <f>D10</f>
        <v>0.85</v>
      </c>
      <c r="E11">
        <f>E10</f>
        <v>500</v>
      </c>
      <c r="F11">
        <f t="shared" ref="F11:F12" si="1">get_turbine_exhaust_h(C11,B11+273,A11/100,E11/100,D11)</f>
        <v>2884.9667359361924</v>
      </c>
      <c r="G11">
        <f t="shared" ref="G11:G12" si="2">have_H_get_T(F11,E11/100)-273</f>
        <v>213.79425592704843</v>
      </c>
      <c r="H11" s="45" t="str">
        <f t="shared" ref="H11:H13" si="3">calc_quality(F11,E11/100)</f>
        <v>SH Vap</v>
      </c>
      <c r="I11">
        <f t="shared" ref="I11:I12" si="4">C11</f>
        <v>3465.0063737350492</v>
      </c>
      <c r="J11">
        <f t="shared" ref="J11:J12" si="5">B11</f>
        <v>520</v>
      </c>
      <c r="K11">
        <f t="shared" ref="K11:L12" si="6">F11</f>
        <v>2884.9667359361924</v>
      </c>
      <c r="L11">
        <f t="shared" si="6"/>
        <v>213.79425592704843</v>
      </c>
      <c r="M11">
        <f t="shared" ref="M11:M12" si="7">I11-K11</f>
        <v>580.0396377988568</v>
      </c>
      <c r="N11">
        <f t="shared" ref="N11:N13" si="8">M11+M16</f>
        <v>994.30271752059207</v>
      </c>
      <c r="P11">
        <f t="shared" ref="P11:P13" si="9">C11-$B$5</f>
        <v>2982.4535638906232</v>
      </c>
      <c r="Q11">
        <f t="shared" ref="Q11:Q13" si="10">$P$6/P11</f>
        <v>335.29440729849813</v>
      </c>
      <c r="R11">
        <f t="shared" ref="R11:R13" si="11">Q11*N11</f>
        <v>333384.14034635294</v>
      </c>
    </row>
    <row r="12" spans="1:18">
      <c r="A12">
        <f t="shared" ref="A12:A13" si="12">A11+1500</f>
        <v>8000</v>
      </c>
      <c r="B12">
        <f t="shared" ref="B12:B13" si="13">B11</f>
        <v>520</v>
      </c>
      <c r="C12">
        <f t="shared" si="0"/>
        <v>3448.6407522642421</v>
      </c>
      <c r="D12" s="72">
        <f t="shared" ref="D12:E18" si="14">D11</f>
        <v>0.85</v>
      </c>
      <c r="E12">
        <f t="shared" si="14"/>
        <v>500</v>
      </c>
      <c r="F12">
        <f t="shared" si="1"/>
        <v>2841.7181374424645</v>
      </c>
      <c r="G12">
        <f t="shared" si="2"/>
        <v>193.56442926385262</v>
      </c>
      <c r="H12" s="45" t="str">
        <f t="shared" si="3"/>
        <v>SH Vap</v>
      </c>
      <c r="I12">
        <f t="shared" si="4"/>
        <v>3448.6407522642421</v>
      </c>
      <c r="J12">
        <f t="shared" si="5"/>
        <v>520</v>
      </c>
      <c r="K12">
        <f t="shared" si="6"/>
        <v>2841.7181374424645</v>
      </c>
      <c r="L12">
        <f t="shared" si="6"/>
        <v>193.56442926385262</v>
      </c>
      <c r="M12">
        <f t="shared" si="7"/>
        <v>606.92261482177764</v>
      </c>
      <c r="N12">
        <f t="shared" si="8"/>
        <v>1011.279126287438</v>
      </c>
      <c r="P12">
        <f t="shared" si="9"/>
        <v>2966.087942419816</v>
      </c>
      <c r="Q12">
        <f t="shared" si="10"/>
        <v>337.14442033170889</v>
      </c>
      <c r="R12">
        <f t="shared" si="11"/>
        <v>340947.11482573528</v>
      </c>
    </row>
    <row r="13" spans="1:18">
      <c r="A13">
        <f t="shared" si="12"/>
        <v>9500</v>
      </c>
      <c r="B13">
        <f t="shared" si="13"/>
        <v>520</v>
      </c>
      <c r="C13">
        <f t="shared" ref="C13" si="15">enthalpyw(B13+273.15,A13/100)</f>
        <v>3431.9492553636965</v>
      </c>
      <c r="D13" s="72">
        <f t="shared" si="14"/>
        <v>0.85</v>
      </c>
      <c r="E13">
        <f t="shared" si="14"/>
        <v>500</v>
      </c>
      <c r="F13">
        <f t="shared" ref="F13" si="16">get_turbine_exhaust_h(C13,B13+273,A13/100,E13/100,D13)</f>
        <v>2804.7472911995023</v>
      </c>
      <c r="G13">
        <f t="shared" ref="G13" si="17">have_H_get_T(F13,E13/100)-273</f>
        <v>176.66736112096208</v>
      </c>
      <c r="H13" s="45" t="str">
        <f t="shared" si="3"/>
        <v>SH Vap</v>
      </c>
      <c r="I13">
        <f t="shared" ref="I13" si="18">C13</f>
        <v>3431.9492553636965</v>
      </c>
      <c r="J13">
        <f t="shared" ref="J13" si="19">B13</f>
        <v>520</v>
      </c>
      <c r="K13">
        <f t="shared" ref="K13" si="20">F13</f>
        <v>2804.7472911995023</v>
      </c>
      <c r="L13">
        <f t="shared" ref="L13" si="21">G13</f>
        <v>176.66736112096208</v>
      </c>
      <c r="M13">
        <f t="shared" ref="M13" si="22">I13-K13</f>
        <v>627.20196416419412</v>
      </c>
      <c r="N13">
        <f t="shared" si="8"/>
        <v>1023.8718631042898</v>
      </c>
      <c r="P13">
        <f t="shared" si="9"/>
        <v>2949.3964455192704</v>
      </c>
      <c r="Q13">
        <f t="shared" si="10"/>
        <v>339.05241918874697</v>
      </c>
      <c r="R13">
        <f t="shared" si="11"/>
        <v>347146.23212479899</v>
      </c>
    </row>
    <row r="14" spans="1:18">
      <c r="A14" t="s">
        <v>226</v>
      </c>
      <c r="D14" s="72"/>
    </row>
    <row r="15" spans="1:18">
      <c r="A15">
        <f>E10</f>
        <v>500</v>
      </c>
      <c r="B15">
        <f>G10</f>
        <v>239.99290840274796</v>
      </c>
      <c r="C15">
        <f t="shared" ref="C15:C18" si="23">enthalpyw(B15+273.15,A15/100)</f>
        <v>2940.2971338981679</v>
      </c>
      <c r="D15" s="72">
        <v>0.75</v>
      </c>
      <c r="E15">
        <v>18</v>
      </c>
      <c r="F15">
        <f t="shared" ref="F15:F18" si="24">get_turbine_exhaust_h(C15,B15+273,A15/100,E15/100,D15)</f>
        <v>2512.1003946036631</v>
      </c>
      <c r="G15">
        <f t="shared" ref="G15:G18" si="25">have_H_get_T(F15,E15/100)-273</f>
        <v>57.948933096851249</v>
      </c>
      <c r="H15" s="45">
        <f t="shared" ref="H15:H18" si="26">calc_quality(F15,E15/100)</f>
        <v>0.96068330363789234</v>
      </c>
      <c r="I15">
        <f t="shared" ref="I15:I18" si="27">C15</f>
        <v>2940.2971338981679</v>
      </c>
      <c r="J15">
        <f t="shared" ref="J15:J18" si="28">B15</f>
        <v>239.99290840274796</v>
      </c>
      <c r="K15">
        <f t="shared" ref="K15:K18" si="29">F15</f>
        <v>2512.1003946036631</v>
      </c>
      <c r="L15">
        <f t="shared" ref="L15:L18" si="30">G15</f>
        <v>57.948933096851249</v>
      </c>
      <c r="M15">
        <f t="shared" ref="M15:M18" si="31">I15-K15</f>
        <v>428.19673929450482</v>
      </c>
    </row>
    <row r="16" spans="1:18">
      <c r="A16">
        <f t="shared" ref="A16:A18" si="32">E11</f>
        <v>500</v>
      </c>
      <c r="B16">
        <f t="shared" ref="B16:B18" si="33">G11</f>
        <v>213.79425592704843</v>
      </c>
      <c r="C16">
        <f t="shared" si="23"/>
        <v>2885.2843930368163</v>
      </c>
      <c r="D16" s="72">
        <f t="shared" si="14"/>
        <v>0.75</v>
      </c>
      <c r="E16">
        <f>E15</f>
        <v>18</v>
      </c>
      <c r="F16">
        <f t="shared" si="24"/>
        <v>2471.021313315081</v>
      </c>
      <c r="G16">
        <f t="shared" si="25"/>
        <v>57.948933096851249</v>
      </c>
      <c r="H16" s="45">
        <f t="shared" si="26"/>
        <v>0.9432994633089824</v>
      </c>
      <c r="I16">
        <f t="shared" si="27"/>
        <v>2885.2843930368163</v>
      </c>
      <c r="J16">
        <f t="shared" si="28"/>
        <v>213.79425592704843</v>
      </c>
      <c r="K16">
        <f t="shared" si="29"/>
        <v>2471.021313315081</v>
      </c>
      <c r="L16">
        <f t="shared" si="30"/>
        <v>57.948933096851249</v>
      </c>
      <c r="M16">
        <f t="shared" si="31"/>
        <v>414.26307972173527</v>
      </c>
    </row>
    <row r="17" spans="1:13">
      <c r="A17">
        <f t="shared" si="32"/>
        <v>500</v>
      </c>
      <c r="B17">
        <f t="shared" si="33"/>
        <v>193.56442926385262</v>
      </c>
      <c r="C17">
        <f t="shared" si="23"/>
        <v>2842.0423154262812</v>
      </c>
      <c r="D17" s="72">
        <f t="shared" si="14"/>
        <v>0.75</v>
      </c>
      <c r="E17">
        <f t="shared" si="14"/>
        <v>18</v>
      </c>
      <c r="F17">
        <f t="shared" si="24"/>
        <v>2437.6858039606209</v>
      </c>
      <c r="G17">
        <f t="shared" si="25"/>
        <v>57.948933096851249</v>
      </c>
      <c r="H17" s="45">
        <f t="shared" si="26"/>
        <v>0.92919254675381868</v>
      </c>
      <c r="I17">
        <f t="shared" si="27"/>
        <v>2842.0423154262812</v>
      </c>
      <c r="J17">
        <f t="shared" si="28"/>
        <v>193.56442926385262</v>
      </c>
      <c r="K17">
        <f t="shared" si="29"/>
        <v>2437.6858039606209</v>
      </c>
      <c r="L17">
        <f t="shared" si="30"/>
        <v>57.948933096851249</v>
      </c>
      <c r="M17">
        <f t="shared" si="31"/>
        <v>404.35651146566033</v>
      </c>
    </row>
    <row r="18" spans="1:13">
      <c r="A18">
        <f t="shared" si="32"/>
        <v>500</v>
      </c>
      <c r="B18">
        <f t="shared" si="33"/>
        <v>176.66736112096208</v>
      </c>
      <c r="C18">
        <f t="shared" si="23"/>
        <v>2805.080080768118</v>
      </c>
      <c r="D18" s="72">
        <f t="shared" si="14"/>
        <v>0.75</v>
      </c>
      <c r="E18">
        <f t="shared" si="14"/>
        <v>18</v>
      </c>
      <c r="F18">
        <f t="shared" si="24"/>
        <v>2408.4101818280224</v>
      </c>
      <c r="G18">
        <f t="shared" si="25"/>
        <v>57.948933096851249</v>
      </c>
      <c r="H18" s="45">
        <f t="shared" si="26"/>
        <v>0.91680369275030793</v>
      </c>
      <c r="I18">
        <f t="shared" si="27"/>
        <v>2805.080080768118</v>
      </c>
      <c r="J18">
        <f t="shared" si="28"/>
        <v>176.66736112096208</v>
      </c>
      <c r="K18">
        <f t="shared" si="29"/>
        <v>2408.4101818280224</v>
      </c>
      <c r="L18">
        <f t="shared" si="30"/>
        <v>57.948933096851249</v>
      </c>
      <c r="M18">
        <f t="shared" si="31"/>
        <v>396.66989894009566</v>
      </c>
    </row>
    <row r="19" spans="1:13">
      <c r="D19" s="72"/>
    </row>
    <row r="20" spans="1:13">
      <c r="B20" t="s">
        <v>228</v>
      </c>
      <c r="D20" s="72"/>
    </row>
    <row r="21" spans="1:13">
      <c r="B21" t="s">
        <v>229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X67"/>
  <sheetViews>
    <sheetView workbookViewId="0">
      <selection activeCell="D22" sqref="D22"/>
    </sheetView>
  </sheetViews>
  <sheetFormatPr baseColWidth="10" defaultRowHeight="13"/>
  <sheetData>
    <row r="1" spans="1:24">
      <c r="A1" t="s">
        <v>136</v>
      </c>
      <c r="J1" t="s">
        <v>169</v>
      </c>
      <c r="K1">
        <f>C9</f>
        <v>4000</v>
      </c>
      <c r="L1">
        <f>Sheet4!C9</f>
        <v>3000</v>
      </c>
    </row>
    <row r="2" spans="1:24">
      <c r="J2" t="s">
        <v>170</v>
      </c>
      <c r="K2">
        <f>O20</f>
        <v>0</v>
      </c>
      <c r="L2">
        <f>Sheet4!O20</f>
        <v>0</v>
      </c>
    </row>
    <row r="3" spans="1:24">
      <c r="A3" t="s">
        <v>137</v>
      </c>
      <c r="B3" t="s">
        <v>80</v>
      </c>
      <c r="C3">
        <v>150000</v>
      </c>
      <c r="J3" t="s">
        <v>171</v>
      </c>
    </row>
    <row r="4" spans="1:24">
      <c r="A4" t="s">
        <v>138</v>
      </c>
      <c r="C4">
        <v>6</v>
      </c>
    </row>
    <row r="5" spans="1:24">
      <c r="A5" t="s">
        <v>82</v>
      </c>
      <c r="B5" t="s">
        <v>139</v>
      </c>
      <c r="C5">
        <v>7.4999999999999997E-2</v>
      </c>
    </row>
    <row r="6" spans="1:24">
      <c r="A6" t="s">
        <v>85</v>
      </c>
      <c r="B6" t="s">
        <v>84</v>
      </c>
      <c r="C6">
        <f>0.25*PI()*C5^2</f>
        <v>4.4178646691106467E-3</v>
      </c>
      <c r="T6" t="s">
        <v>137</v>
      </c>
      <c r="U6">
        <f>D20</f>
        <v>-1358979.4483349675</v>
      </c>
      <c r="V6">
        <f>D22</f>
        <v>0</v>
      </c>
      <c r="W6">
        <f>H62</f>
        <v>0</v>
      </c>
      <c r="X6">
        <f>O20</f>
        <v>0</v>
      </c>
    </row>
    <row r="7" spans="1:24">
      <c r="A7" t="s">
        <v>137</v>
      </c>
      <c r="B7" t="s">
        <v>116</v>
      </c>
      <c r="C7">
        <f>C3/3600/C4</f>
        <v>6.9444444444444438</v>
      </c>
      <c r="T7">
        <v>75000</v>
      </c>
    </row>
    <row r="8" spans="1:24">
      <c r="S8">
        <v>10000</v>
      </c>
      <c r="T8">
        <f>T7+$S$8</f>
        <v>85000</v>
      </c>
    </row>
    <row r="9" spans="1:24">
      <c r="A9" t="s">
        <v>140</v>
      </c>
      <c r="B9" t="s">
        <v>115</v>
      </c>
      <c r="C9">
        <v>4000</v>
      </c>
      <c r="E9">
        <v>3500</v>
      </c>
      <c r="F9" t="s">
        <v>167</v>
      </c>
      <c r="T9">
        <f t="shared" ref="T9:T37" si="0">T8+$S$8</f>
        <v>95000</v>
      </c>
    </row>
    <row r="10" spans="1:24">
      <c r="A10" t="s">
        <v>141</v>
      </c>
      <c r="B10" t="s">
        <v>111</v>
      </c>
      <c r="C10">
        <v>20</v>
      </c>
      <c r="T10">
        <f t="shared" si="0"/>
        <v>105000</v>
      </c>
    </row>
    <row r="11" spans="1:24">
      <c r="A11" t="s">
        <v>142</v>
      </c>
      <c r="B11" t="s">
        <v>143</v>
      </c>
      <c r="C11">
        <f>C9*C10</f>
        <v>80000</v>
      </c>
      <c r="T11">
        <f t="shared" si="0"/>
        <v>115000</v>
      </c>
    </row>
    <row r="12" spans="1:24">
      <c r="A12" t="s">
        <v>144</v>
      </c>
      <c r="B12" t="s">
        <v>106</v>
      </c>
      <c r="C12">
        <f>C11/(C7*C4)</f>
        <v>1920</v>
      </c>
      <c r="E12" t="s">
        <v>145</v>
      </c>
      <c r="T12">
        <f t="shared" si="0"/>
        <v>125000</v>
      </c>
    </row>
    <row r="13" spans="1:24">
      <c r="T13">
        <f t="shared" si="0"/>
        <v>135000</v>
      </c>
    </row>
    <row r="14" spans="1:24">
      <c r="A14" t="s">
        <v>78</v>
      </c>
      <c r="C14">
        <v>600</v>
      </c>
      <c r="T14">
        <f t="shared" si="0"/>
        <v>145000</v>
      </c>
    </row>
    <row r="15" spans="1:24">
      <c r="A15" t="s">
        <v>32</v>
      </c>
      <c r="B15" t="s">
        <v>146</v>
      </c>
      <c r="C15">
        <v>10000</v>
      </c>
      <c r="T15">
        <f t="shared" si="0"/>
        <v>155000</v>
      </c>
    </row>
    <row r="16" spans="1:24">
      <c r="A16" t="s">
        <v>147</v>
      </c>
      <c r="B16" t="s">
        <v>139</v>
      </c>
      <c r="C16">
        <f>(C10/C4)/(0.25*PI()*C5^2)</f>
        <v>754.51232280602233</v>
      </c>
      <c r="T16">
        <f t="shared" si="0"/>
        <v>165000</v>
      </c>
    </row>
    <row r="17" spans="1:20">
      <c r="B17" t="s">
        <v>139</v>
      </c>
      <c r="C17">
        <v>800</v>
      </c>
      <c r="D17" t="s">
        <v>148</v>
      </c>
      <c r="N17">
        <v>1</v>
      </c>
      <c r="T17">
        <f t="shared" si="0"/>
        <v>175000</v>
      </c>
    </row>
    <row r="18" spans="1:20">
      <c r="A18" t="s">
        <v>152</v>
      </c>
      <c r="B18" t="s">
        <v>139</v>
      </c>
      <c r="C18">
        <v>20</v>
      </c>
      <c r="N18">
        <v>1</v>
      </c>
      <c r="T18">
        <f t="shared" si="0"/>
        <v>185000</v>
      </c>
    </row>
    <row r="19" spans="1:20">
      <c r="A19" t="s">
        <v>164</v>
      </c>
      <c r="C19">
        <v>1.4999999999999999E-2</v>
      </c>
      <c r="N19">
        <v>1</v>
      </c>
      <c r="T19">
        <f t="shared" si="0"/>
        <v>195000</v>
      </c>
    </row>
    <row r="20" spans="1:20">
      <c r="A20">
        <v>1000</v>
      </c>
      <c r="D20">
        <f>D22-M20</f>
        <v>-1358979.4483349675</v>
      </c>
      <c r="F20" t="s">
        <v>166</v>
      </c>
      <c r="M20">
        <f>M22/N22*A20/C18</f>
        <v>1358979.4483349675</v>
      </c>
      <c r="O20">
        <f>SUM(O22:O62)*B23*C4</f>
        <v>0</v>
      </c>
      <c r="T20">
        <f t="shared" si="0"/>
        <v>205000</v>
      </c>
    </row>
    <row r="21" spans="1:20">
      <c r="A21" t="s">
        <v>149</v>
      </c>
      <c r="B21" t="s">
        <v>150</v>
      </c>
      <c r="C21" t="s">
        <v>151</v>
      </c>
      <c r="D21" t="s">
        <v>153</v>
      </c>
      <c r="E21" t="s">
        <v>154</v>
      </c>
      <c r="I21" t="s">
        <v>177</v>
      </c>
      <c r="N21" t="s">
        <v>165</v>
      </c>
      <c r="Q21" t="s">
        <v>172</v>
      </c>
      <c r="T21">
        <f t="shared" si="0"/>
        <v>215000</v>
      </c>
    </row>
    <row r="22" spans="1:20">
      <c r="A22">
        <v>0</v>
      </c>
      <c r="B22">
        <f>A22*$C$6</f>
        <v>0</v>
      </c>
      <c r="C22">
        <f>C14</f>
        <v>600</v>
      </c>
      <c r="D22">
        <f>D23-M23</f>
        <v>0</v>
      </c>
      <c r="E22">
        <f t="shared" ref="E22" si="1">D22/100</f>
        <v>0</v>
      </c>
      <c r="F22">
        <f t="shared" ref="F22" si="2">enthalpySatLiqPW(E22)</f>
        <v>-1</v>
      </c>
      <c r="G22">
        <f t="shared" ref="G22" si="3">enthalpysatvappw(E22)</f>
        <v>-1</v>
      </c>
      <c r="H22">
        <f t="shared" ref="H22" si="4">MAX(TREND($F$64:$G$64,F22:G22,C22,TRUE),0)</f>
        <v>0.5</v>
      </c>
      <c r="I22">
        <f>IF(H22&gt;0,densSatLiqPW(E22),h_to_rho(C22,E22))</f>
        <v>-1</v>
      </c>
      <c r="J22">
        <f t="shared" ref="J22" si="5">denssatvappw(E22)</f>
        <v>-1</v>
      </c>
      <c r="K22">
        <f t="shared" ref="K22" si="6">IF(H22&gt;0,((1-H22)/H22)*SQRT(J22/I22),-1)</f>
        <v>1</v>
      </c>
      <c r="L22">
        <f t="shared" ref="L22" si="7">1+20/K22+1/K22^2</f>
        <v>22</v>
      </c>
      <c r="M22">
        <f>-MAX(L22,1)*($C$18)*$C$19*(1/$C$5)*0.5*(1/I22)*(($C$7*(1-H22)/$C$6)^2)/1000*N22</f>
        <v>27179.58896669935</v>
      </c>
      <c r="N22">
        <f t="shared" ref="N22" si="8">$N$17</f>
        <v>1</v>
      </c>
      <c r="O22">
        <f t="shared" ref="O22" si="9">1/(H22/J22+(1-H22)/I22)</f>
        <v>-1</v>
      </c>
      <c r="Q22">
        <f>H_to_T(C22,E22)-273.15</f>
        <v>-274.14999952316282</v>
      </c>
      <c r="T22">
        <f t="shared" si="0"/>
        <v>225000</v>
      </c>
    </row>
    <row r="23" spans="1:20">
      <c r="A23">
        <f>A22+$C$18</f>
        <v>20</v>
      </c>
      <c r="T23">
        <f t="shared" si="0"/>
        <v>235000</v>
      </c>
    </row>
    <row r="24" spans="1:20">
      <c r="A24">
        <f t="shared" ref="A24:A62" si="10">A23+$C$18</f>
        <v>40</v>
      </c>
      <c r="T24">
        <f t="shared" si="0"/>
        <v>245000</v>
      </c>
    </row>
    <row r="25" spans="1:20">
      <c r="A25">
        <f t="shared" si="10"/>
        <v>60</v>
      </c>
      <c r="T25">
        <f t="shared" si="0"/>
        <v>255000</v>
      </c>
    </row>
    <row r="26" spans="1:20">
      <c r="A26">
        <f t="shared" si="10"/>
        <v>80</v>
      </c>
      <c r="T26">
        <f t="shared" si="0"/>
        <v>265000</v>
      </c>
    </row>
    <row r="27" spans="1:20">
      <c r="A27">
        <f t="shared" si="10"/>
        <v>100</v>
      </c>
      <c r="T27">
        <f t="shared" si="0"/>
        <v>275000</v>
      </c>
    </row>
    <row r="28" spans="1:20">
      <c r="A28">
        <f t="shared" si="10"/>
        <v>120</v>
      </c>
      <c r="T28">
        <f t="shared" si="0"/>
        <v>285000</v>
      </c>
    </row>
    <row r="29" spans="1:20">
      <c r="A29">
        <f t="shared" si="10"/>
        <v>140</v>
      </c>
      <c r="T29">
        <f t="shared" si="0"/>
        <v>295000</v>
      </c>
    </row>
    <row r="30" spans="1:20">
      <c r="A30">
        <f t="shared" si="10"/>
        <v>160</v>
      </c>
      <c r="T30">
        <f t="shared" si="0"/>
        <v>305000</v>
      </c>
    </row>
    <row r="31" spans="1:20">
      <c r="A31">
        <f t="shared" si="10"/>
        <v>180</v>
      </c>
      <c r="T31">
        <f t="shared" si="0"/>
        <v>315000</v>
      </c>
    </row>
    <row r="32" spans="1:20">
      <c r="A32">
        <f t="shared" si="10"/>
        <v>200</v>
      </c>
      <c r="T32">
        <f t="shared" si="0"/>
        <v>325000</v>
      </c>
    </row>
    <row r="33" spans="1:20">
      <c r="A33">
        <f t="shared" si="10"/>
        <v>220</v>
      </c>
      <c r="T33">
        <f t="shared" si="0"/>
        <v>335000</v>
      </c>
    </row>
    <row r="34" spans="1:20">
      <c r="A34">
        <f t="shared" si="10"/>
        <v>240</v>
      </c>
      <c r="T34">
        <f t="shared" si="0"/>
        <v>345000</v>
      </c>
    </row>
    <row r="35" spans="1:20">
      <c r="A35">
        <f t="shared" si="10"/>
        <v>260</v>
      </c>
      <c r="T35">
        <f t="shared" si="0"/>
        <v>355000</v>
      </c>
    </row>
    <row r="36" spans="1:20">
      <c r="A36">
        <f t="shared" si="10"/>
        <v>280</v>
      </c>
      <c r="T36">
        <f t="shared" si="0"/>
        <v>365000</v>
      </c>
    </row>
    <row r="37" spans="1:20">
      <c r="A37">
        <f t="shared" si="10"/>
        <v>300</v>
      </c>
      <c r="T37">
        <f t="shared" si="0"/>
        <v>375000</v>
      </c>
    </row>
    <row r="38" spans="1:20">
      <c r="A38">
        <f t="shared" si="10"/>
        <v>320</v>
      </c>
    </row>
    <row r="39" spans="1:20">
      <c r="A39">
        <f t="shared" si="10"/>
        <v>340</v>
      </c>
    </row>
    <row r="40" spans="1:20">
      <c r="A40">
        <f t="shared" si="10"/>
        <v>360</v>
      </c>
    </row>
    <row r="41" spans="1:20">
      <c r="A41">
        <f t="shared" si="10"/>
        <v>380</v>
      </c>
    </row>
    <row r="42" spans="1:20">
      <c r="A42">
        <f t="shared" si="10"/>
        <v>400</v>
      </c>
    </row>
    <row r="43" spans="1:20">
      <c r="A43">
        <f t="shared" si="10"/>
        <v>420</v>
      </c>
    </row>
    <row r="44" spans="1:20">
      <c r="A44">
        <f t="shared" si="10"/>
        <v>440</v>
      </c>
    </row>
    <row r="45" spans="1:20">
      <c r="A45">
        <f t="shared" si="10"/>
        <v>460</v>
      </c>
    </row>
    <row r="46" spans="1:20">
      <c r="A46">
        <f t="shared" si="10"/>
        <v>480</v>
      </c>
    </row>
    <row r="47" spans="1:20">
      <c r="A47">
        <f t="shared" si="10"/>
        <v>500</v>
      </c>
    </row>
    <row r="48" spans="1:20">
      <c r="A48">
        <f t="shared" si="10"/>
        <v>520</v>
      </c>
    </row>
    <row r="49" spans="1:15">
      <c r="A49">
        <f t="shared" si="10"/>
        <v>540</v>
      </c>
    </row>
    <row r="50" spans="1:15">
      <c r="A50">
        <f t="shared" si="10"/>
        <v>560</v>
      </c>
    </row>
    <row r="51" spans="1:15">
      <c r="A51">
        <f t="shared" si="10"/>
        <v>580</v>
      </c>
    </row>
    <row r="52" spans="1:15">
      <c r="A52">
        <f t="shared" si="10"/>
        <v>600</v>
      </c>
    </row>
    <row r="53" spans="1:15">
      <c r="A53">
        <f t="shared" si="10"/>
        <v>620</v>
      </c>
    </row>
    <row r="54" spans="1:15">
      <c r="A54">
        <f t="shared" si="10"/>
        <v>640</v>
      </c>
    </row>
    <row r="55" spans="1:15">
      <c r="A55">
        <f t="shared" si="10"/>
        <v>660</v>
      </c>
    </row>
    <row r="56" spans="1:15">
      <c r="A56">
        <f t="shared" si="10"/>
        <v>680</v>
      </c>
    </row>
    <row r="57" spans="1:15">
      <c r="A57">
        <f t="shared" si="10"/>
        <v>700</v>
      </c>
    </row>
    <row r="58" spans="1:15">
      <c r="A58">
        <f t="shared" si="10"/>
        <v>720</v>
      </c>
    </row>
    <row r="59" spans="1:15">
      <c r="A59">
        <f t="shared" si="10"/>
        <v>740</v>
      </c>
    </row>
    <row r="60" spans="1:15">
      <c r="A60">
        <f t="shared" si="10"/>
        <v>760</v>
      </c>
    </row>
    <row r="61" spans="1:15">
      <c r="A61">
        <f t="shared" si="10"/>
        <v>780</v>
      </c>
    </row>
    <row r="62" spans="1:15">
      <c r="A62">
        <f t="shared" si="10"/>
        <v>800</v>
      </c>
    </row>
    <row r="63" spans="1:15">
      <c r="D63" t="s">
        <v>146</v>
      </c>
      <c r="E63" t="s">
        <v>4</v>
      </c>
      <c r="F63" t="s">
        <v>155</v>
      </c>
      <c r="G63" t="s">
        <v>156</v>
      </c>
      <c r="H63" t="s">
        <v>108</v>
      </c>
      <c r="I63" t="s">
        <v>157</v>
      </c>
      <c r="J63" t="s">
        <v>158</v>
      </c>
      <c r="K63" t="s">
        <v>159</v>
      </c>
      <c r="L63" t="s">
        <v>160</v>
      </c>
      <c r="M63" t="s">
        <v>163</v>
      </c>
      <c r="O63" t="s">
        <v>168</v>
      </c>
    </row>
    <row r="64" spans="1:15">
      <c r="F64">
        <v>0</v>
      </c>
      <c r="G64">
        <v>1</v>
      </c>
    </row>
    <row r="65" spans="12:13" ht="16">
      <c r="L65" s="46" t="s">
        <v>161</v>
      </c>
    </row>
    <row r="67" spans="12:13" ht="16">
      <c r="M67" s="47" t="s">
        <v>162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E67"/>
  <sheetViews>
    <sheetView workbookViewId="0">
      <selection activeCell="I17" sqref="I17"/>
    </sheetView>
  </sheetViews>
  <sheetFormatPr baseColWidth="10" defaultRowHeight="13"/>
  <sheetData>
    <row r="1" spans="1:24">
      <c r="A1" t="s">
        <v>136</v>
      </c>
    </row>
    <row r="3" spans="1:24">
      <c r="A3" t="s">
        <v>137</v>
      </c>
      <c r="B3" t="s">
        <v>80</v>
      </c>
      <c r="C3">
        <v>150000</v>
      </c>
    </row>
    <row r="4" spans="1:24">
      <c r="A4" t="s">
        <v>138</v>
      </c>
      <c r="C4">
        <v>6</v>
      </c>
    </row>
    <row r="5" spans="1:24">
      <c r="A5" t="s">
        <v>82</v>
      </c>
      <c r="B5" t="s">
        <v>139</v>
      </c>
      <c r="C5">
        <v>7.4999999999999997E-2</v>
      </c>
    </row>
    <row r="6" spans="1:24">
      <c r="A6" t="s">
        <v>85</v>
      </c>
      <c r="B6" t="s">
        <v>84</v>
      </c>
      <c r="C6">
        <f>0.25*PI()*C5^2</f>
        <v>4.4178646691106467E-3</v>
      </c>
      <c r="T6" t="s">
        <v>137</v>
      </c>
      <c r="U6">
        <f>D20</f>
        <v>-2038469.1725024513</v>
      </c>
      <c r="V6">
        <f>D22</f>
        <v>0</v>
      </c>
      <c r="W6">
        <f>H62</f>
        <v>0</v>
      </c>
      <c r="X6">
        <f>O20</f>
        <v>0</v>
      </c>
    </row>
    <row r="7" spans="1:24">
      <c r="A7" t="s">
        <v>137</v>
      </c>
      <c r="B7" t="s">
        <v>116</v>
      </c>
      <c r="C7">
        <f>C3/3600/C4</f>
        <v>6.9444444444444438</v>
      </c>
      <c r="T7">
        <v>75000</v>
      </c>
    </row>
    <row r="8" spans="1:24">
      <c r="S8">
        <v>5000</v>
      </c>
      <c r="T8">
        <f>T7+$S$8</f>
        <v>80000</v>
      </c>
    </row>
    <row r="9" spans="1:24">
      <c r="A9" t="s">
        <v>140</v>
      </c>
      <c r="B9" t="s">
        <v>115</v>
      </c>
      <c r="C9">
        <v>3000</v>
      </c>
      <c r="E9">
        <v>3500</v>
      </c>
      <c r="F9" t="s">
        <v>167</v>
      </c>
      <c r="T9">
        <f t="shared" ref="T9:T37" si="0">T8+$S$8</f>
        <v>85000</v>
      </c>
    </row>
    <row r="10" spans="1:24">
      <c r="A10" t="s">
        <v>141</v>
      </c>
      <c r="B10" t="s">
        <v>111</v>
      </c>
      <c r="C10">
        <v>20</v>
      </c>
      <c r="T10">
        <f t="shared" si="0"/>
        <v>90000</v>
      </c>
    </row>
    <row r="11" spans="1:24">
      <c r="A11" t="s">
        <v>142</v>
      </c>
      <c r="B11" t="s">
        <v>143</v>
      </c>
      <c r="C11">
        <f>C9*C10</f>
        <v>60000</v>
      </c>
      <c r="T11">
        <f t="shared" si="0"/>
        <v>95000</v>
      </c>
    </row>
    <row r="12" spans="1:24">
      <c r="A12" t="s">
        <v>144</v>
      </c>
      <c r="B12" t="s">
        <v>106</v>
      </c>
      <c r="C12">
        <f>C11/(C7*C4)</f>
        <v>1440</v>
      </c>
      <c r="E12" t="s">
        <v>145</v>
      </c>
      <c r="T12">
        <f t="shared" si="0"/>
        <v>100000</v>
      </c>
    </row>
    <row r="13" spans="1:24">
      <c r="G13" t="s">
        <v>178</v>
      </c>
      <c r="H13">
        <v>1000</v>
      </c>
      <c r="T13">
        <f t="shared" si="0"/>
        <v>105000</v>
      </c>
    </row>
    <row r="14" spans="1:24">
      <c r="A14" t="s">
        <v>78</v>
      </c>
      <c r="C14">
        <v>600</v>
      </c>
      <c r="G14" t="s">
        <v>179</v>
      </c>
      <c r="H14">
        <v>1</v>
      </c>
      <c r="T14">
        <f t="shared" si="0"/>
        <v>110000</v>
      </c>
    </row>
    <row r="15" spans="1:24">
      <c r="A15" t="s">
        <v>32</v>
      </c>
      <c r="B15" t="s">
        <v>146</v>
      </c>
      <c r="C15">
        <v>10000</v>
      </c>
      <c r="G15" t="s">
        <v>180</v>
      </c>
      <c r="H15">
        <v>1</v>
      </c>
      <c r="T15">
        <f t="shared" si="0"/>
        <v>115000</v>
      </c>
    </row>
    <row r="16" spans="1:24">
      <c r="A16" t="s">
        <v>147</v>
      </c>
      <c r="B16" t="s">
        <v>139</v>
      </c>
      <c r="C16">
        <f>(C10/C4)/(0.25*PI()*C5^2)</f>
        <v>754.51232280602233</v>
      </c>
      <c r="G16" t="s">
        <v>181</v>
      </c>
      <c r="H16">
        <f>choked_pressure(H15,H13,H14)</f>
        <v>0.67639297843320878</v>
      </c>
      <c r="I16">
        <f>sonic_flux(H13,H14)</f>
        <v>1.4904344617204053</v>
      </c>
      <c r="T16">
        <f t="shared" si="0"/>
        <v>120000</v>
      </c>
    </row>
    <row r="17" spans="1:31">
      <c r="B17" t="s">
        <v>139</v>
      </c>
      <c r="C17">
        <v>800</v>
      </c>
      <c r="D17" t="s">
        <v>148</v>
      </c>
      <c r="I17">
        <f>sonic_flux(H13,H16)</f>
        <v>0.99999983704401729</v>
      </c>
      <c r="N17">
        <v>1</v>
      </c>
      <c r="T17">
        <f t="shared" si="0"/>
        <v>125000</v>
      </c>
    </row>
    <row r="18" spans="1:31">
      <c r="A18" t="s">
        <v>152</v>
      </c>
      <c r="B18" t="s">
        <v>139</v>
      </c>
      <c r="C18">
        <v>20</v>
      </c>
      <c r="N18">
        <v>1</v>
      </c>
      <c r="T18">
        <f t="shared" si="0"/>
        <v>130000</v>
      </c>
    </row>
    <row r="19" spans="1:31">
      <c r="A19" t="s">
        <v>164</v>
      </c>
      <c r="C19">
        <v>1.4999999999999999E-2</v>
      </c>
      <c r="N19">
        <v>1</v>
      </c>
      <c r="T19">
        <f t="shared" si="0"/>
        <v>135000</v>
      </c>
    </row>
    <row r="20" spans="1:31">
      <c r="A20">
        <v>1500</v>
      </c>
      <c r="D20">
        <f>D22-M20</f>
        <v>-2038469.1725024513</v>
      </c>
      <c r="F20" t="s">
        <v>166</v>
      </c>
      <c r="M20">
        <f>M22/N22*A20/C18</f>
        <v>2038469.1725024513</v>
      </c>
      <c r="O20">
        <f>SUM(O22:O62)*B23*C4</f>
        <v>0</v>
      </c>
      <c r="T20">
        <f t="shared" si="0"/>
        <v>140000</v>
      </c>
    </row>
    <row r="21" spans="1:31">
      <c r="A21" t="s">
        <v>149</v>
      </c>
      <c r="B21" t="s">
        <v>150</v>
      </c>
      <c r="C21" t="s">
        <v>151</v>
      </c>
      <c r="D21" t="s">
        <v>153</v>
      </c>
      <c r="E21" t="s">
        <v>154</v>
      </c>
      <c r="N21" t="s">
        <v>165</v>
      </c>
      <c r="Q21" t="s">
        <v>172</v>
      </c>
      <c r="T21">
        <f t="shared" si="0"/>
        <v>145000</v>
      </c>
      <c r="AC21" t="s">
        <v>173</v>
      </c>
      <c r="AD21" t="s">
        <v>174</v>
      </c>
      <c r="AE21" t="s">
        <v>175</v>
      </c>
    </row>
    <row r="22" spans="1:31">
      <c r="A22">
        <v>0</v>
      </c>
      <c r="B22">
        <f>A22*$C$6</f>
        <v>0</v>
      </c>
      <c r="C22">
        <f>C14</f>
        <v>600</v>
      </c>
      <c r="D22">
        <f t="shared" ref="D22" si="1">D23-M23</f>
        <v>0</v>
      </c>
      <c r="E22">
        <f t="shared" ref="E22" si="2">D22/100</f>
        <v>0</v>
      </c>
      <c r="F22">
        <f t="shared" ref="F22" si="3">enthalpySatLiqPW(E22)</f>
        <v>-1</v>
      </c>
      <c r="G22">
        <f t="shared" ref="G22" si="4">enthalpysatvappw(E22)</f>
        <v>-1</v>
      </c>
      <c r="H22">
        <f t="shared" ref="H22" si="5">MAX(TREND($F$64:$G$64,F22:G22,C22,TRUE),0)</f>
        <v>0.5</v>
      </c>
      <c r="I22">
        <f>IF(H22&gt;0,densSatLiqPW(E22),h_to_rho(C22,E22))</f>
        <v>-1</v>
      </c>
      <c r="J22">
        <f t="shared" ref="J22" si="6">denssatvappw(E22)</f>
        <v>-1</v>
      </c>
      <c r="K22">
        <f t="shared" ref="K22" si="7">IF(H22&gt;0,((1-H22)/H22)*SQRT(J22/I22),-1)</f>
        <v>1</v>
      </c>
      <c r="L22">
        <f t="shared" ref="L22" si="8">1+20/K22+1/K22^2</f>
        <v>22</v>
      </c>
      <c r="M22">
        <f>-MAX(L22,1)*($C$18)*$C$19*(1/$C$5)*0.5*(1/I22)*(($C$7*(1-H22)/$C$6)^2)/1000*N22</f>
        <v>27179.58896669935</v>
      </c>
      <c r="N22">
        <f t="shared" ref="N22" si="9">$N$17</f>
        <v>1</v>
      </c>
      <c r="O22">
        <f t="shared" ref="O22" si="10">1/(H22/J22+(1-H22)/I22)</f>
        <v>-1</v>
      </c>
      <c r="Q22">
        <f>H_to_T(C22,E22)-273.15</f>
        <v>-274.14999952316282</v>
      </c>
      <c r="T22">
        <f t="shared" si="0"/>
        <v>150000</v>
      </c>
      <c r="AC22">
        <f>A22</f>
        <v>0</v>
      </c>
      <c r="AD22">
        <f>Sheet3!Q22</f>
        <v>-274.14999952316282</v>
      </c>
      <c r="AE22">
        <f>Q22</f>
        <v>-274.14999952316282</v>
      </c>
    </row>
    <row r="23" spans="1:31">
      <c r="A23">
        <f>A22+$C$18</f>
        <v>20</v>
      </c>
      <c r="T23">
        <f t="shared" si="0"/>
        <v>155000</v>
      </c>
      <c r="AC23">
        <f t="shared" ref="AC23:AC62" si="11">A23</f>
        <v>20</v>
      </c>
      <c r="AD23">
        <f>Sheet3!Q23</f>
        <v>0</v>
      </c>
      <c r="AE23">
        <f t="shared" ref="AE23:AE62" si="12">Q23</f>
        <v>0</v>
      </c>
    </row>
    <row r="24" spans="1:31">
      <c r="A24">
        <f t="shared" ref="A24:A62" si="13">A23+$C$18</f>
        <v>40</v>
      </c>
      <c r="T24">
        <f t="shared" si="0"/>
        <v>160000</v>
      </c>
      <c r="AC24">
        <f t="shared" si="11"/>
        <v>40</v>
      </c>
      <c r="AD24">
        <f>Sheet3!Q24</f>
        <v>0</v>
      </c>
      <c r="AE24">
        <f t="shared" si="12"/>
        <v>0</v>
      </c>
    </row>
    <row r="25" spans="1:31">
      <c r="A25">
        <f t="shared" si="13"/>
        <v>60</v>
      </c>
      <c r="T25">
        <f t="shared" si="0"/>
        <v>165000</v>
      </c>
      <c r="AC25">
        <f t="shared" si="11"/>
        <v>60</v>
      </c>
      <c r="AD25">
        <f>Sheet3!Q25</f>
        <v>0</v>
      </c>
      <c r="AE25">
        <f t="shared" si="12"/>
        <v>0</v>
      </c>
    </row>
    <row r="26" spans="1:31">
      <c r="A26">
        <f t="shared" si="13"/>
        <v>80</v>
      </c>
      <c r="T26">
        <f t="shared" si="0"/>
        <v>170000</v>
      </c>
      <c r="AC26">
        <f t="shared" si="11"/>
        <v>80</v>
      </c>
      <c r="AD26">
        <f>Sheet3!Q26</f>
        <v>0</v>
      </c>
      <c r="AE26">
        <f t="shared" si="12"/>
        <v>0</v>
      </c>
    </row>
    <row r="27" spans="1:31">
      <c r="A27">
        <f t="shared" si="13"/>
        <v>100</v>
      </c>
      <c r="T27">
        <f t="shared" si="0"/>
        <v>175000</v>
      </c>
      <c r="AC27">
        <f t="shared" si="11"/>
        <v>100</v>
      </c>
      <c r="AD27">
        <f>Sheet3!Q27</f>
        <v>0</v>
      </c>
      <c r="AE27">
        <f t="shared" si="12"/>
        <v>0</v>
      </c>
    </row>
    <row r="28" spans="1:31">
      <c r="A28">
        <f t="shared" si="13"/>
        <v>120</v>
      </c>
      <c r="T28">
        <f t="shared" si="0"/>
        <v>180000</v>
      </c>
      <c r="AC28">
        <f t="shared" si="11"/>
        <v>120</v>
      </c>
      <c r="AD28">
        <f>Sheet3!Q28</f>
        <v>0</v>
      </c>
      <c r="AE28">
        <f t="shared" si="12"/>
        <v>0</v>
      </c>
    </row>
    <row r="29" spans="1:31">
      <c r="A29">
        <f t="shared" si="13"/>
        <v>140</v>
      </c>
      <c r="T29">
        <f t="shared" si="0"/>
        <v>185000</v>
      </c>
      <c r="AC29">
        <f t="shared" si="11"/>
        <v>140</v>
      </c>
      <c r="AD29">
        <f>Sheet3!Q29</f>
        <v>0</v>
      </c>
      <c r="AE29">
        <f t="shared" si="12"/>
        <v>0</v>
      </c>
    </row>
    <row r="30" spans="1:31">
      <c r="A30">
        <f t="shared" si="13"/>
        <v>160</v>
      </c>
      <c r="T30">
        <f t="shared" si="0"/>
        <v>190000</v>
      </c>
      <c r="AC30">
        <f t="shared" si="11"/>
        <v>160</v>
      </c>
      <c r="AD30">
        <f>Sheet3!Q30</f>
        <v>0</v>
      </c>
      <c r="AE30">
        <f t="shared" si="12"/>
        <v>0</v>
      </c>
    </row>
    <row r="31" spans="1:31">
      <c r="A31">
        <f t="shared" si="13"/>
        <v>180</v>
      </c>
      <c r="T31">
        <f t="shared" si="0"/>
        <v>195000</v>
      </c>
      <c r="AC31">
        <f t="shared" si="11"/>
        <v>180</v>
      </c>
      <c r="AD31">
        <f>Sheet3!Q31</f>
        <v>0</v>
      </c>
      <c r="AE31">
        <f t="shared" si="12"/>
        <v>0</v>
      </c>
    </row>
    <row r="32" spans="1:31">
      <c r="A32">
        <f t="shared" si="13"/>
        <v>200</v>
      </c>
      <c r="T32">
        <f t="shared" si="0"/>
        <v>200000</v>
      </c>
      <c r="AC32">
        <f t="shared" si="11"/>
        <v>200</v>
      </c>
      <c r="AD32">
        <f>Sheet3!Q32</f>
        <v>0</v>
      </c>
      <c r="AE32">
        <f t="shared" si="12"/>
        <v>0</v>
      </c>
    </row>
    <row r="33" spans="1:31">
      <c r="A33">
        <f t="shared" si="13"/>
        <v>220</v>
      </c>
      <c r="T33">
        <f t="shared" si="0"/>
        <v>205000</v>
      </c>
      <c r="AC33">
        <f t="shared" si="11"/>
        <v>220</v>
      </c>
      <c r="AD33">
        <f>Sheet3!Q33</f>
        <v>0</v>
      </c>
      <c r="AE33">
        <f t="shared" si="12"/>
        <v>0</v>
      </c>
    </row>
    <row r="34" spans="1:31">
      <c r="A34">
        <f t="shared" si="13"/>
        <v>240</v>
      </c>
      <c r="T34">
        <f t="shared" si="0"/>
        <v>210000</v>
      </c>
      <c r="AC34">
        <f t="shared" si="11"/>
        <v>240</v>
      </c>
      <c r="AD34">
        <f>Sheet3!Q34</f>
        <v>0</v>
      </c>
      <c r="AE34">
        <f t="shared" si="12"/>
        <v>0</v>
      </c>
    </row>
    <row r="35" spans="1:31">
      <c r="A35">
        <f t="shared" si="13"/>
        <v>260</v>
      </c>
      <c r="T35">
        <f t="shared" si="0"/>
        <v>215000</v>
      </c>
      <c r="AC35">
        <f t="shared" si="11"/>
        <v>260</v>
      </c>
      <c r="AD35">
        <f>Sheet3!Q35</f>
        <v>0</v>
      </c>
      <c r="AE35">
        <f t="shared" si="12"/>
        <v>0</v>
      </c>
    </row>
    <row r="36" spans="1:31">
      <c r="A36">
        <f t="shared" si="13"/>
        <v>280</v>
      </c>
      <c r="T36">
        <f t="shared" si="0"/>
        <v>220000</v>
      </c>
      <c r="AC36">
        <f t="shared" si="11"/>
        <v>280</v>
      </c>
      <c r="AD36">
        <f>Sheet3!Q36</f>
        <v>0</v>
      </c>
      <c r="AE36">
        <f t="shared" si="12"/>
        <v>0</v>
      </c>
    </row>
    <row r="37" spans="1:31">
      <c r="A37">
        <f t="shared" si="13"/>
        <v>300</v>
      </c>
      <c r="T37">
        <f t="shared" si="0"/>
        <v>225000</v>
      </c>
      <c r="AC37">
        <f t="shared" si="11"/>
        <v>300</v>
      </c>
      <c r="AD37">
        <f>Sheet3!Q37</f>
        <v>0</v>
      </c>
      <c r="AE37">
        <f t="shared" si="12"/>
        <v>0</v>
      </c>
    </row>
    <row r="38" spans="1:31">
      <c r="A38">
        <f t="shared" si="13"/>
        <v>320</v>
      </c>
      <c r="AC38">
        <f t="shared" si="11"/>
        <v>320</v>
      </c>
      <c r="AD38">
        <f>Sheet3!Q38</f>
        <v>0</v>
      </c>
      <c r="AE38">
        <f t="shared" si="12"/>
        <v>0</v>
      </c>
    </row>
    <row r="39" spans="1:31">
      <c r="A39">
        <f t="shared" si="13"/>
        <v>340</v>
      </c>
      <c r="AC39">
        <f t="shared" si="11"/>
        <v>340</v>
      </c>
      <c r="AD39">
        <f>Sheet3!Q39</f>
        <v>0</v>
      </c>
      <c r="AE39">
        <f t="shared" si="12"/>
        <v>0</v>
      </c>
    </row>
    <row r="40" spans="1:31">
      <c r="A40">
        <f t="shared" si="13"/>
        <v>360</v>
      </c>
      <c r="AC40">
        <f t="shared" si="11"/>
        <v>360</v>
      </c>
      <c r="AD40">
        <f>Sheet3!Q40</f>
        <v>0</v>
      </c>
      <c r="AE40">
        <f t="shared" si="12"/>
        <v>0</v>
      </c>
    </row>
    <row r="41" spans="1:31">
      <c r="A41">
        <f t="shared" si="13"/>
        <v>380</v>
      </c>
      <c r="AC41">
        <f t="shared" si="11"/>
        <v>380</v>
      </c>
      <c r="AD41">
        <f>Sheet3!Q41</f>
        <v>0</v>
      </c>
      <c r="AE41">
        <f t="shared" si="12"/>
        <v>0</v>
      </c>
    </row>
    <row r="42" spans="1:31">
      <c r="A42">
        <f t="shared" si="13"/>
        <v>400</v>
      </c>
      <c r="AC42">
        <f t="shared" si="11"/>
        <v>400</v>
      </c>
      <c r="AD42">
        <f>Sheet3!Q42</f>
        <v>0</v>
      </c>
      <c r="AE42">
        <f t="shared" si="12"/>
        <v>0</v>
      </c>
    </row>
    <row r="43" spans="1:31">
      <c r="A43">
        <f t="shared" si="13"/>
        <v>420</v>
      </c>
      <c r="AC43">
        <f t="shared" si="11"/>
        <v>420</v>
      </c>
      <c r="AD43">
        <f>Sheet3!Q43</f>
        <v>0</v>
      </c>
      <c r="AE43">
        <f t="shared" si="12"/>
        <v>0</v>
      </c>
    </row>
    <row r="44" spans="1:31">
      <c r="A44">
        <f t="shared" si="13"/>
        <v>440</v>
      </c>
      <c r="AC44">
        <f t="shared" si="11"/>
        <v>440</v>
      </c>
      <c r="AD44">
        <f>Sheet3!Q44</f>
        <v>0</v>
      </c>
      <c r="AE44">
        <f t="shared" si="12"/>
        <v>0</v>
      </c>
    </row>
    <row r="45" spans="1:31">
      <c r="A45">
        <f t="shared" si="13"/>
        <v>460</v>
      </c>
      <c r="AC45">
        <f t="shared" si="11"/>
        <v>460</v>
      </c>
      <c r="AD45">
        <f>Sheet3!Q45</f>
        <v>0</v>
      </c>
      <c r="AE45">
        <f t="shared" si="12"/>
        <v>0</v>
      </c>
    </row>
    <row r="46" spans="1:31">
      <c r="A46">
        <f t="shared" si="13"/>
        <v>480</v>
      </c>
      <c r="AC46">
        <f t="shared" si="11"/>
        <v>480</v>
      </c>
      <c r="AD46">
        <f>Sheet3!Q46</f>
        <v>0</v>
      </c>
      <c r="AE46">
        <f t="shared" si="12"/>
        <v>0</v>
      </c>
    </row>
    <row r="47" spans="1:31">
      <c r="A47">
        <f t="shared" si="13"/>
        <v>500</v>
      </c>
      <c r="AC47">
        <f t="shared" si="11"/>
        <v>500</v>
      </c>
      <c r="AD47">
        <f>Sheet3!Q47</f>
        <v>0</v>
      </c>
      <c r="AE47">
        <f t="shared" si="12"/>
        <v>0</v>
      </c>
    </row>
    <row r="48" spans="1:31">
      <c r="A48">
        <f t="shared" si="13"/>
        <v>520</v>
      </c>
      <c r="AC48">
        <f t="shared" si="11"/>
        <v>520</v>
      </c>
      <c r="AD48">
        <f>Sheet3!Q48</f>
        <v>0</v>
      </c>
      <c r="AE48">
        <f t="shared" si="12"/>
        <v>0</v>
      </c>
    </row>
    <row r="49" spans="1:31">
      <c r="A49">
        <f t="shared" si="13"/>
        <v>540</v>
      </c>
      <c r="AC49">
        <f t="shared" si="11"/>
        <v>540</v>
      </c>
      <c r="AD49">
        <f>Sheet3!Q49</f>
        <v>0</v>
      </c>
      <c r="AE49">
        <f t="shared" si="12"/>
        <v>0</v>
      </c>
    </row>
    <row r="50" spans="1:31">
      <c r="A50">
        <f t="shared" si="13"/>
        <v>560</v>
      </c>
      <c r="AC50">
        <f t="shared" si="11"/>
        <v>560</v>
      </c>
      <c r="AD50">
        <f>Sheet3!Q50</f>
        <v>0</v>
      </c>
      <c r="AE50">
        <f t="shared" si="12"/>
        <v>0</v>
      </c>
    </row>
    <row r="51" spans="1:31">
      <c r="A51">
        <f t="shared" si="13"/>
        <v>580</v>
      </c>
      <c r="AC51">
        <f t="shared" si="11"/>
        <v>580</v>
      </c>
      <c r="AD51">
        <f>Sheet3!Q51</f>
        <v>0</v>
      </c>
      <c r="AE51">
        <f t="shared" si="12"/>
        <v>0</v>
      </c>
    </row>
    <row r="52" spans="1:31">
      <c r="A52">
        <f t="shared" si="13"/>
        <v>600</v>
      </c>
      <c r="AC52">
        <f t="shared" si="11"/>
        <v>600</v>
      </c>
      <c r="AD52">
        <f>Sheet3!Q52</f>
        <v>0</v>
      </c>
      <c r="AE52">
        <f t="shared" si="12"/>
        <v>0</v>
      </c>
    </row>
    <row r="53" spans="1:31">
      <c r="A53">
        <f t="shared" si="13"/>
        <v>620</v>
      </c>
      <c r="AC53">
        <f t="shared" si="11"/>
        <v>620</v>
      </c>
      <c r="AD53">
        <f>Sheet3!Q53</f>
        <v>0</v>
      </c>
      <c r="AE53">
        <f t="shared" si="12"/>
        <v>0</v>
      </c>
    </row>
    <row r="54" spans="1:31">
      <c r="A54">
        <f t="shared" si="13"/>
        <v>640</v>
      </c>
      <c r="AC54">
        <f t="shared" si="11"/>
        <v>640</v>
      </c>
      <c r="AD54">
        <f>Sheet3!Q54</f>
        <v>0</v>
      </c>
      <c r="AE54">
        <f t="shared" si="12"/>
        <v>0</v>
      </c>
    </row>
    <row r="55" spans="1:31">
      <c r="A55">
        <f t="shared" si="13"/>
        <v>660</v>
      </c>
      <c r="AC55">
        <f t="shared" si="11"/>
        <v>660</v>
      </c>
      <c r="AD55">
        <f>Sheet3!Q55</f>
        <v>0</v>
      </c>
      <c r="AE55">
        <f t="shared" si="12"/>
        <v>0</v>
      </c>
    </row>
    <row r="56" spans="1:31">
      <c r="A56">
        <f t="shared" si="13"/>
        <v>680</v>
      </c>
      <c r="AC56">
        <f t="shared" si="11"/>
        <v>680</v>
      </c>
      <c r="AD56">
        <f>Sheet3!Q56</f>
        <v>0</v>
      </c>
      <c r="AE56">
        <f t="shared" si="12"/>
        <v>0</v>
      </c>
    </row>
    <row r="57" spans="1:31">
      <c r="A57">
        <f t="shared" si="13"/>
        <v>700</v>
      </c>
      <c r="AC57">
        <f t="shared" si="11"/>
        <v>700</v>
      </c>
      <c r="AD57">
        <f>Sheet3!Q57</f>
        <v>0</v>
      </c>
      <c r="AE57">
        <f t="shared" si="12"/>
        <v>0</v>
      </c>
    </row>
    <row r="58" spans="1:31">
      <c r="A58">
        <f t="shared" si="13"/>
        <v>720</v>
      </c>
      <c r="AC58">
        <f t="shared" si="11"/>
        <v>720</v>
      </c>
      <c r="AD58">
        <f>Sheet3!Q58</f>
        <v>0</v>
      </c>
      <c r="AE58">
        <f t="shared" si="12"/>
        <v>0</v>
      </c>
    </row>
    <row r="59" spans="1:31">
      <c r="A59">
        <f t="shared" si="13"/>
        <v>740</v>
      </c>
      <c r="AC59">
        <f t="shared" si="11"/>
        <v>740</v>
      </c>
      <c r="AD59">
        <f>Sheet3!Q59</f>
        <v>0</v>
      </c>
      <c r="AE59">
        <f t="shared" si="12"/>
        <v>0</v>
      </c>
    </row>
    <row r="60" spans="1:31">
      <c r="A60">
        <f t="shared" si="13"/>
        <v>760</v>
      </c>
      <c r="AC60">
        <f t="shared" si="11"/>
        <v>760</v>
      </c>
      <c r="AD60">
        <f>Sheet3!Q60</f>
        <v>0</v>
      </c>
      <c r="AE60">
        <f t="shared" si="12"/>
        <v>0</v>
      </c>
    </row>
    <row r="61" spans="1:31">
      <c r="A61">
        <f t="shared" si="13"/>
        <v>780</v>
      </c>
      <c r="AC61">
        <f t="shared" si="11"/>
        <v>780</v>
      </c>
      <c r="AD61">
        <f>Sheet3!Q61</f>
        <v>0</v>
      </c>
      <c r="AE61">
        <f t="shared" si="12"/>
        <v>0</v>
      </c>
    </row>
    <row r="62" spans="1:31">
      <c r="A62">
        <f t="shared" si="13"/>
        <v>800</v>
      </c>
      <c r="AC62">
        <f t="shared" si="11"/>
        <v>800</v>
      </c>
      <c r="AD62">
        <f>Sheet3!Q62</f>
        <v>0</v>
      </c>
      <c r="AE62">
        <f t="shared" si="12"/>
        <v>0</v>
      </c>
    </row>
    <row r="63" spans="1:31">
      <c r="D63" t="s">
        <v>146</v>
      </c>
      <c r="E63" t="s">
        <v>4</v>
      </c>
      <c r="F63" t="s">
        <v>155</v>
      </c>
      <c r="G63" t="s">
        <v>156</v>
      </c>
      <c r="H63" t="s">
        <v>108</v>
      </c>
      <c r="I63" t="s">
        <v>157</v>
      </c>
      <c r="J63" t="s">
        <v>158</v>
      </c>
      <c r="K63" t="s">
        <v>159</v>
      </c>
      <c r="L63" t="s">
        <v>160</v>
      </c>
      <c r="M63" t="s">
        <v>163</v>
      </c>
      <c r="O63" t="s">
        <v>168</v>
      </c>
    </row>
    <row r="64" spans="1:31">
      <c r="F64">
        <v>0</v>
      </c>
      <c r="G64">
        <v>1</v>
      </c>
    </row>
    <row r="65" spans="12:13" ht="16">
      <c r="L65" s="46" t="s">
        <v>161</v>
      </c>
    </row>
    <row r="67" spans="12:13" ht="16">
      <c r="M67" s="47" t="s">
        <v>162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E28"/>
  <sheetViews>
    <sheetView workbookViewId="0">
      <selection activeCell="D29" sqref="D29"/>
    </sheetView>
  </sheetViews>
  <sheetFormatPr baseColWidth="10" defaultRowHeight="13"/>
  <sheetData>
    <row r="1" spans="1:5">
      <c r="A1" t="s">
        <v>109</v>
      </c>
    </row>
    <row r="3" spans="1:5">
      <c r="A3" t="s">
        <v>120</v>
      </c>
      <c r="B3" t="s">
        <v>72</v>
      </c>
      <c r="C3">
        <v>10000</v>
      </c>
    </row>
    <row r="4" spans="1:5">
      <c r="A4" t="s">
        <v>110</v>
      </c>
      <c r="B4" t="s">
        <v>111</v>
      </c>
      <c r="C4">
        <v>20</v>
      </c>
    </row>
    <row r="5" spans="1:5">
      <c r="A5" t="s">
        <v>79</v>
      </c>
      <c r="B5" t="s">
        <v>80</v>
      </c>
      <c r="C5">
        <v>150000</v>
      </c>
    </row>
    <row r="6" spans="1:5">
      <c r="B6" t="s">
        <v>116</v>
      </c>
      <c r="C6">
        <f>C5/3600</f>
        <v>41.666666666666664</v>
      </c>
    </row>
    <row r="7" spans="1:5">
      <c r="A7" t="s">
        <v>113</v>
      </c>
      <c r="B7" t="s">
        <v>6</v>
      </c>
      <c r="C7">
        <v>150</v>
      </c>
    </row>
    <row r="8" spans="1:5">
      <c r="A8" t="s">
        <v>112</v>
      </c>
      <c r="B8" t="s">
        <v>106</v>
      </c>
      <c r="C8">
        <f>enthalpysatliqTW(C7+273)</f>
        <v>631.60386931471214</v>
      </c>
    </row>
    <row r="9" spans="1:5">
      <c r="A9" t="s">
        <v>114</v>
      </c>
      <c r="B9" t="s">
        <v>115</v>
      </c>
      <c r="C9">
        <v>3000</v>
      </c>
    </row>
    <row r="10" spans="1:5">
      <c r="A10" t="s">
        <v>117</v>
      </c>
      <c r="C10">
        <v>0.75</v>
      </c>
    </row>
    <row r="11" spans="1:5">
      <c r="A11" t="s">
        <v>121</v>
      </c>
      <c r="B11" t="s">
        <v>106</v>
      </c>
      <c r="C11">
        <f>enthalpySatLiqPW(C3/100)</f>
        <v>1407.8675005682435</v>
      </c>
    </row>
    <row r="12" spans="1:5">
      <c r="A12" t="s">
        <v>122</v>
      </c>
      <c r="B12" t="s">
        <v>106</v>
      </c>
      <c r="C12">
        <f>energySatVapPW(C3/100)</f>
        <v>2545.1368144822891</v>
      </c>
    </row>
    <row r="13" spans="1:5">
      <c r="A13" t="s">
        <v>118</v>
      </c>
      <c r="B13" t="s">
        <v>106</v>
      </c>
      <c r="C13">
        <f>(1-C10)*C11+C10*C12</f>
        <v>2260.8194860037775</v>
      </c>
      <c r="E13" t="s">
        <v>119</v>
      </c>
    </row>
    <row r="15" spans="1:5">
      <c r="A15" t="s">
        <v>123</v>
      </c>
      <c r="C15">
        <v>20</v>
      </c>
    </row>
    <row r="16" spans="1:5">
      <c r="A16" t="s">
        <v>124</v>
      </c>
      <c r="C16">
        <f>(C13-C8)/C15</f>
        <v>81.460780834453274</v>
      </c>
    </row>
    <row r="20" spans="1:4">
      <c r="A20" t="s">
        <v>74</v>
      </c>
      <c r="B20" t="s">
        <v>125</v>
      </c>
      <c r="D20" t="s">
        <v>126</v>
      </c>
    </row>
    <row r="21" spans="1:4">
      <c r="A21">
        <f>C8</f>
        <v>631.60386931471214</v>
      </c>
      <c r="B21">
        <f>C3</f>
        <v>10000</v>
      </c>
      <c r="D21" t="s">
        <v>127</v>
      </c>
    </row>
    <row r="22" spans="1:4">
      <c r="A22">
        <f>A21+$C$16</f>
        <v>713.06465014916546</v>
      </c>
    </row>
    <row r="28" spans="1:4">
      <c r="D28">
        <f>sonic_flux(1000,3)</f>
        <v>4.630793458336802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X67"/>
  <sheetViews>
    <sheetView workbookViewId="0">
      <selection activeCell="Q42" sqref="Q42"/>
    </sheetView>
  </sheetViews>
  <sheetFormatPr baseColWidth="10" defaultRowHeight="13"/>
  <sheetData>
    <row r="1" spans="1:24">
      <c r="A1" t="s">
        <v>136</v>
      </c>
      <c r="J1" t="s">
        <v>169</v>
      </c>
      <c r="K1">
        <f>C9</f>
        <v>3500</v>
      </c>
      <c r="L1">
        <f>Sheet4!C9</f>
        <v>3000</v>
      </c>
    </row>
    <row r="2" spans="1:24">
      <c r="J2" t="s">
        <v>170</v>
      </c>
      <c r="K2">
        <f>O20</f>
        <v>11024.983323771343</v>
      </c>
      <c r="L2">
        <f>Sheet4!O20</f>
        <v>0</v>
      </c>
    </row>
    <row r="3" spans="1:24">
      <c r="A3" t="s">
        <v>137</v>
      </c>
      <c r="B3" t="s">
        <v>80</v>
      </c>
      <c r="C3">
        <v>150000</v>
      </c>
      <c r="J3" t="s">
        <v>171</v>
      </c>
    </row>
    <row r="4" spans="1:24">
      <c r="A4" t="s">
        <v>138</v>
      </c>
      <c r="C4">
        <v>6</v>
      </c>
    </row>
    <row r="5" spans="1:24">
      <c r="A5" t="s">
        <v>82</v>
      </c>
      <c r="B5" t="s">
        <v>139</v>
      </c>
      <c r="C5">
        <v>7.4999999999999997E-2</v>
      </c>
    </row>
    <row r="6" spans="1:24">
      <c r="A6" t="s">
        <v>85</v>
      </c>
      <c r="B6" t="s">
        <v>84</v>
      </c>
      <c r="C6">
        <f>0.25*PI()*C5^2</f>
        <v>4.4178646691106467E-3</v>
      </c>
      <c r="T6" t="s">
        <v>176</v>
      </c>
      <c r="U6">
        <f>D20</f>
        <v>12757.294975056797</v>
      </c>
      <c r="V6">
        <f>D22</f>
        <v>12359.577981351071</v>
      </c>
      <c r="W6">
        <f>H62</f>
        <v>0.73877640518486176</v>
      </c>
      <c r="X6">
        <f>O20</f>
        <v>11024.983323771343</v>
      </c>
    </row>
    <row r="7" spans="1:24">
      <c r="A7" t="s">
        <v>137</v>
      </c>
      <c r="B7" t="s">
        <v>116</v>
      </c>
      <c r="C7">
        <f>C3/3600/C4</f>
        <v>6.9444444444444438</v>
      </c>
      <c r="T7">
        <v>3000</v>
      </c>
      <c r="U7">
        <f t="dataTable" ref="U7:X17" dt2D="0" dtr="0" r1="C9"/>
        <v>12262.415267546663</v>
      </c>
      <c r="V7">
        <v>11864.559603376236</v>
      </c>
      <c r="W7">
        <v>0.54564645180793292</v>
      </c>
      <c r="X7">
        <v>12303.002120594272</v>
      </c>
    </row>
    <row r="8" spans="1:24">
      <c r="S8">
        <v>100</v>
      </c>
      <c r="T8">
        <f>T7+$S$8</f>
        <v>3100</v>
      </c>
      <c r="U8">
        <v>12378.166665600778</v>
      </c>
      <c r="V8">
        <v>11980.343466136015</v>
      </c>
      <c r="W8">
        <v>0.58427244248332055</v>
      </c>
      <c r="X8">
        <v>12018.480776649383</v>
      </c>
    </row>
    <row r="9" spans="1:24">
      <c r="A9" t="s">
        <v>140</v>
      </c>
      <c r="B9" t="s">
        <v>115</v>
      </c>
      <c r="C9">
        <v>3500</v>
      </c>
      <c r="E9">
        <v>3500</v>
      </c>
      <c r="F9" t="s">
        <v>167</v>
      </c>
      <c r="T9">
        <f t="shared" ref="T9:T17" si="0">T8+$S$8</f>
        <v>3200</v>
      </c>
      <c r="U9">
        <v>12484.536327478292</v>
      </c>
      <c r="V9">
        <v>12086.742945287839</v>
      </c>
      <c r="W9">
        <v>0.62289843315870597</v>
      </c>
      <c r="X9">
        <v>11758.57972848737</v>
      </c>
    </row>
    <row r="10" spans="1:24">
      <c r="A10" t="s">
        <v>141</v>
      </c>
      <c r="B10" t="s">
        <v>111</v>
      </c>
      <c r="C10">
        <v>20</v>
      </c>
      <c r="T10">
        <f t="shared" si="0"/>
        <v>3300</v>
      </c>
      <c r="U10">
        <v>12584.445165518973</v>
      </c>
      <c r="V10">
        <v>12186.679775456361</v>
      </c>
      <c r="W10">
        <v>0.66152442383408983</v>
      </c>
      <c r="X10">
        <v>11502.723804619702</v>
      </c>
    </row>
    <row r="11" spans="1:24">
      <c r="A11" t="s">
        <v>142</v>
      </c>
      <c r="B11" t="s">
        <v>143</v>
      </c>
      <c r="C11">
        <f>C9*C10</f>
        <v>70000</v>
      </c>
      <c r="T11">
        <f t="shared" si="0"/>
        <v>3400</v>
      </c>
      <c r="U11">
        <v>12675.375785852346</v>
      </c>
      <c r="V11">
        <v>12277.635860600221</v>
      </c>
      <c r="W11">
        <v>0.70015041450947635</v>
      </c>
      <c r="X11">
        <v>11258.330138134543</v>
      </c>
    </row>
    <row r="12" spans="1:24">
      <c r="A12" t="s">
        <v>144</v>
      </c>
      <c r="B12" t="s">
        <v>106</v>
      </c>
      <c r="C12">
        <f>C11/(C7*C4)</f>
        <v>1680</v>
      </c>
      <c r="E12" t="s">
        <v>145</v>
      </c>
      <c r="T12">
        <f t="shared" si="0"/>
        <v>3500</v>
      </c>
      <c r="U12">
        <v>12757.294975056797</v>
      </c>
      <c r="V12">
        <v>12359.577981351071</v>
      </c>
      <c r="W12">
        <v>0.73877640518486176</v>
      </c>
      <c r="X12">
        <v>11024.983323771343</v>
      </c>
    </row>
    <row r="13" spans="1:24">
      <c r="T13">
        <f t="shared" si="0"/>
        <v>3600</v>
      </c>
      <c r="U13">
        <v>12830.175040230648</v>
      </c>
      <c r="V13">
        <v>12432.478440082832</v>
      </c>
      <c r="W13">
        <v>0.77740239586024962</v>
      </c>
      <c r="X13">
        <v>10795.948288375454</v>
      </c>
    </row>
    <row r="14" spans="1:24">
      <c r="A14" t="s">
        <v>78</v>
      </c>
      <c r="C14">
        <v>600</v>
      </c>
      <c r="T14">
        <f t="shared" si="0"/>
        <v>3700</v>
      </c>
      <c r="U14">
        <v>12892.983411790632</v>
      </c>
      <c r="V14">
        <v>12495.304381109252</v>
      </c>
      <c r="W14">
        <v>0.81602838653563237</v>
      </c>
      <c r="X14">
        <v>10577.684177301737</v>
      </c>
    </row>
    <row r="15" spans="1:24">
      <c r="A15" t="s">
        <v>32</v>
      </c>
      <c r="B15" t="s">
        <v>146</v>
      </c>
      <c r="C15">
        <v>10000</v>
      </c>
      <c r="T15">
        <f t="shared" si="0"/>
        <v>3800</v>
      </c>
      <c r="U15">
        <v>12945.51519576039</v>
      </c>
      <c r="V15">
        <v>12547.850855745557</v>
      </c>
      <c r="W15">
        <v>0.85465437721101778</v>
      </c>
      <c r="X15">
        <v>10364.92552860505</v>
      </c>
    </row>
    <row r="16" spans="1:24">
      <c r="A16" t="s">
        <v>147</v>
      </c>
      <c r="B16" t="s">
        <v>139</v>
      </c>
      <c r="C16">
        <f>(C10/C4)/(0.25*PI()*C5^2)</f>
        <v>754.51232280602233</v>
      </c>
      <c r="T16">
        <f t="shared" si="0"/>
        <v>3900</v>
      </c>
      <c r="U16">
        <v>12988.373061161274</v>
      </c>
      <c r="V16">
        <v>12590.72070369728</v>
      </c>
      <c r="W16">
        <v>0.89328036788640564</v>
      </c>
      <c r="X16">
        <v>10156.113526119512</v>
      </c>
    </row>
    <row r="17" spans="1:24">
      <c r="B17" t="s">
        <v>139</v>
      </c>
      <c r="C17">
        <v>800</v>
      </c>
      <c r="D17" t="s">
        <v>148</v>
      </c>
      <c r="N17">
        <v>1</v>
      </c>
      <c r="T17">
        <f t="shared" si="0"/>
        <v>4000</v>
      </c>
      <c r="U17">
        <v>13018.581603811554</v>
      </c>
      <c r="V17">
        <v>12620.937690799599</v>
      </c>
      <c r="W17">
        <v>0.93190635856179149</v>
      </c>
      <c r="X17">
        <v>9961.844765210124</v>
      </c>
    </row>
    <row r="18" spans="1:24">
      <c r="A18" t="s">
        <v>152</v>
      </c>
      <c r="B18" t="s">
        <v>139</v>
      </c>
      <c r="C18">
        <v>20</v>
      </c>
      <c r="N18">
        <v>1</v>
      </c>
    </row>
    <row r="19" spans="1:24">
      <c r="A19" t="s">
        <v>164</v>
      </c>
      <c r="C19">
        <v>1.4999999999999999E-2</v>
      </c>
      <c r="N19">
        <v>1</v>
      </c>
    </row>
    <row r="20" spans="1:24">
      <c r="A20">
        <v>1500</v>
      </c>
      <c r="D20">
        <f>D22-M20</f>
        <v>12757.294975056797</v>
      </c>
      <c r="F20" t="s">
        <v>166</v>
      </c>
      <c r="M20">
        <f>M22/N22*A20/C18</f>
        <v>-397.71699370572554</v>
      </c>
      <c r="O20">
        <f>SUM(O22:O62)*B23*C4</f>
        <v>11024.983323771343</v>
      </c>
    </row>
    <row r="21" spans="1:24">
      <c r="A21" t="s">
        <v>149</v>
      </c>
      <c r="B21" t="s">
        <v>150</v>
      </c>
      <c r="C21" t="s">
        <v>151</v>
      </c>
      <c r="D21" t="s">
        <v>153</v>
      </c>
      <c r="E21" t="s">
        <v>154</v>
      </c>
      <c r="N21" t="s">
        <v>165</v>
      </c>
      <c r="Q21" t="s">
        <v>172</v>
      </c>
    </row>
    <row r="22" spans="1:24">
      <c r="A22">
        <v>0</v>
      </c>
      <c r="B22">
        <f>A22*$C$6</f>
        <v>0</v>
      </c>
      <c r="C22">
        <f>C14</f>
        <v>600</v>
      </c>
      <c r="D22">
        <f t="shared" ref="D22:D60" si="1">D23-M23</f>
        <v>12359.577981351071</v>
      </c>
      <c r="E22">
        <f t="shared" ref="E22:E60" si="2">D22/100</f>
        <v>123.5957798135107</v>
      </c>
      <c r="F22">
        <f t="shared" ref="F22:F60" si="3">enthalpySatLiqPW(E22)</f>
        <v>1505.829949193474</v>
      </c>
      <c r="G22">
        <f t="shared" ref="G22:G60" si="4">enthalpysatvappw(E22)</f>
        <v>2677.6504524702655</v>
      </c>
      <c r="H22">
        <f t="shared" ref="H22:H60" si="5">MAX(TREND($F$64:$G$64,F22:G22,C22,TRUE),0)</f>
        <v>0</v>
      </c>
      <c r="I22">
        <f>IF(H22&gt;0,densSatLiqPW(E22),h_to_rho(C22,E22))</f>
        <v>931.89570599802528</v>
      </c>
      <c r="J22">
        <f t="shared" ref="J22:J60" si="6">denssatvappw(E22)</f>
        <v>72.935318201822312</v>
      </c>
      <c r="K22">
        <f t="shared" ref="K22:K44" si="7">IF(H22&gt;0,((1-H22)/H22)*SQRT(J22/I22),-1)</f>
        <v>-1</v>
      </c>
      <c r="L22">
        <f t="shared" ref="L22:L60" si="8">1+20/K22+1/K22^2</f>
        <v>-18</v>
      </c>
      <c r="M22">
        <f>-MAX(L22,1)*($C$18)*$C$19*(1/$C$5)*0.5*(1/I22)*(($C$7*(1-H22)/$C$6)^2)/1000*N22</f>
        <v>-5.3028932494096743</v>
      </c>
      <c r="N22">
        <f t="shared" ref="N22:N38" si="9">$N$17</f>
        <v>1</v>
      </c>
      <c r="O22">
        <f t="shared" ref="O22:O61" si="10">1/(H22/J22+(1-H22)/I22)</f>
        <v>931.89570599802528</v>
      </c>
      <c r="Q22">
        <f>H_to_T(C22,E22)-273.15</f>
        <v>140.69506842663645</v>
      </c>
    </row>
    <row r="23" spans="1:24">
      <c r="A23">
        <f>A22+$C$18</f>
        <v>20</v>
      </c>
      <c r="B23">
        <f t="shared" ref="B23:B62" si="11">A23*$C$6</f>
        <v>8.8357293382212931E-2</v>
      </c>
      <c r="C23">
        <f>C22+(B23-B22)*$C$9/$C$7</f>
        <v>644.53207586463532</v>
      </c>
      <c r="D23">
        <f t="shared" si="1"/>
        <v>12354.221440675055</v>
      </c>
      <c r="E23">
        <f t="shared" si="2"/>
        <v>123.54221440675056</v>
      </c>
      <c r="F23">
        <f t="shared" si="3"/>
        <v>1505.6147421243186</v>
      </c>
      <c r="G23">
        <f t="shared" si="4"/>
        <v>2677.770437528769</v>
      </c>
      <c r="H23">
        <f t="shared" si="5"/>
        <v>0</v>
      </c>
      <c r="I23">
        <f>IF(H23&gt;0,densSatLiqPW(E23),h_to_rho(C23,E23))</f>
        <v>922.56247966482363</v>
      </c>
      <c r="J23">
        <f t="shared" si="6"/>
        <v>72.892249618195876</v>
      </c>
      <c r="K23">
        <f t="shared" si="7"/>
        <v>-1</v>
      </c>
      <c r="L23">
        <f t="shared" si="8"/>
        <v>-18</v>
      </c>
      <c r="M23">
        <f>-MAX(L23,1)*($C$18)*$C$19*(1/$C$5)*0.5*(1/I23)*(($C$7*(1-H23)/$C$6)^2)/1000*N23</f>
        <v>-5.3565406760159773</v>
      </c>
      <c r="N23">
        <f t="shared" si="9"/>
        <v>1</v>
      </c>
      <c r="O23">
        <f t="shared" si="10"/>
        <v>922.56247966482363</v>
      </c>
      <c r="Q23">
        <f t="shared" ref="Q23:Q62" si="12">H_to_T(C23,E23)-273.15</f>
        <v>151.1381847704958</v>
      </c>
    </row>
    <row r="24" spans="1:24">
      <c r="A24">
        <f t="shared" ref="A24:A62" si="13">A23+$C$18</f>
        <v>40</v>
      </c>
      <c r="B24">
        <f t="shared" si="11"/>
        <v>0.17671458676442586</v>
      </c>
      <c r="C24">
        <f t="shared" ref="C24:C62" si="14">C23+(B24-B23)*$C$9/$C$7</f>
        <v>689.06415172927063</v>
      </c>
      <c r="D24">
        <f t="shared" si="1"/>
        <v>12348.807814346794</v>
      </c>
      <c r="E24">
        <f t="shared" si="2"/>
        <v>123.48807814346793</v>
      </c>
      <c r="F24">
        <f t="shared" si="3"/>
        <v>1505.3972170270922</v>
      </c>
      <c r="G24">
        <f t="shared" si="4"/>
        <v>2677.8916446526091</v>
      </c>
      <c r="H24">
        <f t="shared" si="5"/>
        <v>0</v>
      </c>
      <c r="I24">
        <f>IF(H24&gt;0,densSatLiqPW(E24),h_to_rho(C24,E24))</f>
        <v>912.83423510272905</v>
      </c>
      <c r="J24">
        <f t="shared" si="6"/>
        <v>72.848739835889134</v>
      </c>
      <c r="K24">
        <f t="shared" si="7"/>
        <v>-1</v>
      </c>
      <c r="L24">
        <f t="shared" si="8"/>
        <v>-18</v>
      </c>
      <c r="M24">
        <f t="shared" ref="M24:M62" si="15">-MAX(L24,1)*($C$18)*$C$19*(1/$C$5)*0.5*(1/I24)*(($C$7*(1-H24)/$C$6)^2)/1000*N24</f>
        <v>-5.4136263282617296</v>
      </c>
      <c r="N24">
        <f t="shared" si="9"/>
        <v>1</v>
      </c>
      <c r="O24">
        <f t="shared" si="10"/>
        <v>912.83423510272905</v>
      </c>
      <c r="Q24">
        <f t="shared" si="12"/>
        <v>161.52218172120217</v>
      </c>
    </row>
    <row r="25" spans="1:24">
      <c r="A25">
        <f t="shared" si="13"/>
        <v>60</v>
      </c>
      <c r="B25">
        <f t="shared" si="11"/>
        <v>0.26507188014663879</v>
      </c>
      <c r="C25">
        <f t="shared" si="14"/>
        <v>733.59622759390595</v>
      </c>
      <c r="D25">
        <f t="shared" si="1"/>
        <v>12343.33349377597</v>
      </c>
      <c r="E25">
        <f t="shared" si="2"/>
        <v>123.4333349377597</v>
      </c>
      <c r="F25">
        <f t="shared" si="3"/>
        <v>1505.1772280405964</v>
      </c>
      <c r="G25">
        <f t="shared" si="4"/>
        <v>2678.0141528121617</v>
      </c>
      <c r="H25">
        <f t="shared" si="5"/>
        <v>0</v>
      </c>
      <c r="I25">
        <f>IF(H25&gt;0,densSatLiqPW(E25),h_to_rho(C25,E25))</f>
        <v>902.71356683567944</v>
      </c>
      <c r="J25">
        <f t="shared" si="6"/>
        <v>72.80476041840538</v>
      </c>
      <c r="K25">
        <f t="shared" si="7"/>
        <v>-1</v>
      </c>
      <c r="L25">
        <f t="shared" si="8"/>
        <v>-18</v>
      </c>
      <c r="M25">
        <f t="shared" si="15"/>
        <v>-5.4743205708243607</v>
      </c>
      <c r="N25">
        <f t="shared" si="9"/>
        <v>1</v>
      </c>
      <c r="O25">
        <f t="shared" si="10"/>
        <v>902.71356683567944</v>
      </c>
      <c r="Q25">
        <f t="shared" si="12"/>
        <v>171.83983426887715</v>
      </c>
    </row>
    <row r="26" spans="1:24">
      <c r="A26">
        <f t="shared" si="13"/>
        <v>80</v>
      </c>
      <c r="B26">
        <f t="shared" si="11"/>
        <v>0.35342917352885173</v>
      </c>
      <c r="C26">
        <f t="shared" si="14"/>
        <v>778.12830345854127</v>
      </c>
      <c r="D26">
        <f t="shared" si="1"/>
        <v>12337.79466404039</v>
      </c>
      <c r="E26">
        <f t="shared" si="2"/>
        <v>123.37794664040389</v>
      </c>
      <c r="F26">
        <f t="shared" si="3"/>
        <v>1504.9546209309603</v>
      </c>
      <c r="G26">
        <f t="shared" si="4"/>
        <v>2678.1380454200862</v>
      </c>
      <c r="H26">
        <f t="shared" si="5"/>
        <v>0</v>
      </c>
      <c r="I26">
        <f>IF(H26&gt;0,densSatLiqPW(E26),h_to_rho(C26,E26))</f>
        <v>892.19992027303635</v>
      </c>
      <c r="J26">
        <f t="shared" si="6"/>
        <v>72.760281326164503</v>
      </c>
      <c r="K26">
        <f t="shared" si="7"/>
        <v>-1</v>
      </c>
      <c r="L26">
        <f t="shared" si="8"/>
        <v>-18</v>
      </c>
      <c r="M26">
        <f t="shared" si="15"/>
        <v>-5.5388297355804399</v>
      </c>
      <c r="N26">
        <f t="shared" si="9"/>
        <v>1</v>
      </c>
      <c r="O26">
        <f t="shared" si="10"/>
        <v>892.19992027303635</v>
      </c>
      <c r="Q26">
        <f t="shared" si="12"/>
        <v>182.08317118399219</v>
      </c>
    </row>
    <row r="27" spans="1:24">
      <c r="A27">
        <f t="shared" si="13"/>
        <v>100</v>
      </c>
      <c r="B27">
        <f t="shared" si="11"/>
        <v>0.44178646691106466</v>
      </c>
      <c r="C27">
        <f t="shared" si="14"/>
        <v>822.66037932317658</v>
      </c>
      <c r="D27">
        <f t="shared" si="1"/>
        <v>12332.187265009408</v>
      </c>
      <c r="E27">
        <f t="shared" si="2"/>
        <v>123.32187265009408</v>
      </c>
      <c r="F27">
        <f t="shared" si="3"/>
        <v>1504.7292315217028</v>
      </c>
      <c r="G27">
        <f t="shared" si="4"/>
        <v>2678.2634111851021</v>
      </c>
      <c r="H27">
        <f t="shared" si="5"/>
        <v>0</v>
      </c>
      <c r="I27">
        <f>IF(H27&gt;0,densSatLiqPW(E27),h_to_rho(C27,E27))</f>
        <v>881.28977823530977</v>
      </c>
      <c r="J27">
        <f t="shared" si="6"/>
        <v>72.715270609237407</v>
      </c>
      <c r="K27">
        <f t="shared" si="7"/>
        <v>-1</v>
      </c>
      <c r="L27">
        <f t="shared" si="8"/>
        <v>-18</v>
      </c>
      <c r="M27">
        <f t="shared" si="15"/>
        <v>-5.6073990309817425</v>
      </c>
      <c r="N27">
        <f t="shared" si="9"/>
        <v>1</v>
      </c>
      <c r="O27">
        <f t="shared" si="10"/>
        <v>881.28977823530977</v>
      </c>
      <c r="Q27">
        <f t="shared" si="12"/>
        <v>192.24339716182897</v>
      </c>
    </row>
    <row r="28" spans="1:24">
      <c r="A28">
        <f t="shared" si="13"/>
        <v>120</v>
      </c>
      <c r="B28">
        <f t="shared" si="11"/>
        <v>0.53014376029327759</v>
      </c>
      <c r="C28">
        <f t="shared" si="14"/>
        <v>867.1924551878119</v>
      </c>
      <c r="D28">
        <f t="shared" si="1"/>
        <v>12326.506948401084</v>
      </c>
      <c r="E28">
        <f t="shared" si="2"/>
        <v>123.26506948401084</v>
      </c>
      <c r="F28">
        <f t="shared" si="3"/>
        <v>1504.5008839586508</v>
      </c>
      <c r="G28">
        <f t="shared" si="4"/>
        <v>2678.3903450532584</v>
      </c>
      <c r="H28">
        <f t="shared" si="5"/>
        <v>0</v>
      </c>
      <c r="I28">
        <f>IF(H28&gt;0,densSatLiqPW(E28),h_to_rho(C28,E28))</f>
        <v>869.97676172626052</v>
      </c>
      <c r="J28">
        <f t="shared" si="6"/>
        <v>72.6696940684742</v>
      </c>
      <c r="K28">
        <f t="shared" si="7"/>
        <v>-1</v>
      </c>
      <c r="L28">
        <f t="shared" si="8"/>
        <v>-18</v>
      </c>
      <c r="M28">
        <f t="shared" si="15"/>
        <v>-5.6803166083253593</v>
      </c>
      <c r="N28">
        <f t="shared" si="9"/>
        <v>1</v>
      </c>
      <c r="O28">
        <f t="shared" si="10"/>
        <v>869.97676172626052</v>
      </c>
      <c r="Q28">
        <f t="shared" si="12"/>
        <v>202.31081898090576</v>
      </c>
    </row>
    <row r="29" spans="1:24">
      <c r="A29">
        <f t="shared" si="13"/>
        <v>140</v>
      </c>
      <c r="B29">
        <f t="shared" si="11"/>
        <v>0.61850105367549058</v>
      </c>
      <c r="C29">
        <f t="shared" si="14"/>
        <v>911.72453105244722</v>
      </c>
      <c r="D29">
        <f t="shared" si="1"/>
        <v>12320.749029443528</v>
      </c>
      <c r="E29">
        <f t="shared" si="2"/>
        <v>123.20749029443529</v>
      </c>
      <c r="F29">
        <f t="shared" si="3"/>
        <v>1504.2693887562134</v>
      </c>
      <c r="G29">
        <f t="shared" si="4"/>
        <v>2678.5189492659829</v>
      </c>
      <c r="H29">
        <f t="shared" si="5"/>
        <v>0</v>
      </c>
      <c r="I29">
        <f>IF(H29&gt;0,densSatLiqPW(E29),h_to_rho(C29,E29))</f>
        <v>858.25165045200833</v>
      </c>
      <c r="J29">
        <f t="shared" si="6"/>
        <v>72.623514874508899</v>
      </c>
      <c r="K29">
        <f t="shared" si="7"/>
        <v>-1</v>
      </c>
      <c r="L29">
        <f t="shared" si="8"/>
        <v>-18</v>
      </c>
      <c r="M29">
        <f t="shared" si="15"/>
        <v>-5.7579189575553551</v>
      </c>
      <c r="N29">
        <f t="shared" si="9"/>
        <v>1</v>
      </c>
      <c r="O29">
        <f t="shared" si="10"/>
        <v>858.25165045200833</v>
      </c>
      <c r="Q29">
        <f t="shared" si="12"/>
        <v>212.27477104385116</v>
      </c>
    </row>
    <row r="30" spans="1:24">
      <c r="A30">
        <f t="shared" si="13"/>
        <v>160</v>
      </c>
      <c r="B30">
        <f t="shared" si="11"/>
        <v>0.70685834705770345</v>
      </c>
      <c r="C30">
        <f t="shared" si="14"/>
        <v>956.25660691708254</v>
      </c>
      <c r="D30">
        <f t="shared" si="1"/>
        <v>12314.908431531354</v>
      </c>
      <c r="E30">
        <f t="shared" si="2"/>
        <v>123.14908431531354</v>
      </c>
      <c r="F30">
        <f t="shared" si="3"/>
        <v>1504.0345405600672</v>
      </c>
      <c r="G30">
        <f t="shared" si="4"/>
        <v>2678.6493345703848</v>
      </c>
      <c r="H30">
        <f t="shared" si="5"/>
        <v>0</v>
      </c>
      <c r="I30">
        <f>IF(H30&gt;0,densSatLiqPW(E30),h_to_rho(C30,E30))</f>
        <v>846.1023208241561</v>
      </c>
      <c r="J30">
        <f t="shared" si="6"/>
        <v>72.576693131923022</v>
      </c>
      <c r="K30">
        <f t="shared" si="7"/>
        <v>-1</v>
      </c>
      <c r="L30">
        <f t="shared" si="8"/>
        <v>-18</v>
      </c>
      <c r="M30">
        <f t="shared" si="15"/>
        <v>-5.8405979121735854</v>
      </c>
      <c r="N30">
        <f t="shared" si="9"/>
        <v>1</v>
      </c>
      <c r="O30">
        <f t="shared" si="10"/>
        <v>846.1023208241561</v>
      </c>
      <c r="Q30">
        <f t="shared" si="12"/>
        <v>222.12353432893872</v>
      </c>
    </row>
    <row r="31" spans="1:24">
      <c r="A31">
        <f t="shared" si="13"/>
        <v>180</v>
      </c>
      <c r="B31">
        <f t="shared" si="11"/>
        <v>0.79521564043991644</v>
      </c>
      <c r="C31">
        <f t="shared" si="14"/>
        <v>1000.7886827817179</v>
      </c>
      <c r="D31">
        <f t="shared" si="1"/>
        <v>12308.979621808952</v>
      </c>
      <c r="E31">
        <f t="shared" si="2"/>
        <v>123.08979621808952</v>
      </c>
      <c r="F31">
        <f t="shared" si="3"/>
        <v>1503.7961155425894</v>
      </c>
      <c r="G31">
        <f t="shared" si="4"/>
        <v>2678.7816216269157</v>
      </c>
      <c r="H31">
        <f t="shared" si="5"/>
        <v>0</v>
      </c>
      <c r="I31">
        <f>IF(H31&gt;0,densSatLiqPW(E31),h_to_rho(C31,E31))</f>
        <v>833.51358533554344</v>
      </c>
      <c r="J31">
        <f t="shared" si="6"/>
        <v>72.529185372268529</v>
      </c>
      <c r="K31">
        <f t="shared" si="7"/>
        <v>-1</v>
      </c>
      <c r="L31">
        <f t="shared" si="8"/>
        <v>-18</v>
      </c>
      <c r="M31">
        <f t="shared" si="15"/>
        <v>-5.9288097224011258</v>
      </c>
      <c r="N31">
        <f t="shared" si="9"/>
        <v>1</v>
      </c>
      <c r="O31">
        <f t="shared" si="10"/>
        <v>833.51358533554344</v>
      </c>
      <c r="Q31">
        <f t="shared" si="12"/>
        <v>231.84424053280901</v>
      </c>
    </row>
    <row r="32" spans="1:24">
      <c r="A32">
        <f t="shared" si="13"/>
        <v>200</v>
      </c>
      <c r="B32">
        <f t="shared" si="11"/>
        <v>0.88357293382212931</v>
      </c>
      <c r="C32">
        <f t="shared" si="14"/>
        <v>1045.3207586463532</v>
      </c>
      <c r="D32">
        <f t="shared" si="1"/>
        <v>12302.956534856361</v>
      </c>
      <c r="E32">
        <f t="shared" si="2"/>
        <v>123.02956534856361</v>
      </c>
      <c r="F32">
        <f t="shared" si="3"/>
        <v>1503.5538683168604</v>
      </c>
      <c r="G32">
        <f t="shared" si="4"/>
        <v>2678.9159426763058</v>
      </c>
      <c r="H32">
        <f t="shared" si="5"/>
        <v>0</v>
      </c>
      <c r="I32">
        <f>IF(H32&gt;0,densSatLiqPW(E32),h_to_rho(C32,E32))</f>
        <v>820.46689469826379</v>
      </c>
      <c r="J32">
        <f t="shared" si="6"/>
        <v>72.480943953665033</v>
      </c>
      <c r="K32">
        <f t="shared" si="7"/>
        <v>-1</v>
      </c>
      <c r="L32">
        <f t="shared" si="8"/>
        <v>-18</v>
      </c>
      <c r="M32">
        <f t="shared" si="15"/>
        <v>-6.0230869525920054</v>
      </c>
      <c r="N32">
        <f t="shared" si="9"/>
        <v>1</v>
      </c>
      <c r="O32">
        <f t="shared" si="10"/>
        <v>820.46689469826379</v>
      </c>
      <c r="Q32">
        <f t="shared" si="12"/>
        <v>241.42274925885511</v>
      </c>
    </row>
    <row r="33" spans="1:17">
      <c r="A33">
        <f t="shared" si="13"/>
        <v>220</v>
      </c>
      <c r="B33">
        <f t="shared" si="11"/>
        <v>0.9719302272043423</v>
      </c>
      <c r="C33">
        <f t="shared" si="14"/>
        <v>1089.8528345109885</v>
      </c>
      <c r="D33">
        <f t="shared" si="1"/>
        <v>12296.832480448124</v>
      </c>
      <c r="E33">
        <f t="shared" si="2"/>
        <v>122.96832480448124</v>
      </c>
      <c r="F33">
        <f t="shared" si="3"/>
        <v>1503.3075282068728</v>
      </c>
      <c r="G33">
        <f t="shared" si="4"/>
        <v>2679.0524435545858</v>
      </c>
      <c r="H33">
        <f t="shared" si="5"/>
        <v>0</v>
      </c>
      <c r="I33">
        <f>IF(H33&gt;0,densSatLiqPW(E33),h_to_rho(C33,E33))</f>
        <v>806.93983414705394</v>
      </c>
      <c r="J33">
        <f t="shared" si="6"/>
        <v>72.431916335104148</v>
      </c>
      <c r="K33">
        <f t="shared" si="7"/>
        <v>-1</v>
      </c>
      <c r="L33">
        <f t="shared" si="8"/>
        <v>-18</v>
      </c>
      <c r="M33">
        <f t="shared" si="15"/>
        <v>-6.1240544082376092</v>
      </c>
      <c r="N33">
        <f t="shared" si="9"/>
        <v>1</v>
      </c>
      <c r="O33">
        <f t="shared" si="10"/>
        <v>806.93983414705394</v>
      </c>
      <c r="Q33">
        <f t="shared" si="12"/>
        <v>250.84347987758554</v>
      </c>
    </row>
    <row r="34" spans="1:17">
      <c r="A34">
        <f t="shared" si="13"/>
        <v>240</v>
      </c>
      <c r="B34">
        <f t="shared" si="11"/>
        <v>1.0602875205865552</v>
      </c>
      <c r="C34">
        <f t="shared" si="14"/>
        <v>1134.3849103756238</v>
      </c>
      <c r="D34">
        <f t="shared" si="1"/>
        <v>12290.600029552896</v>
      </c>
      <c r="E34">
        <f t="shared" si="2"/>
        <v>122.90600029552895</v>
      </c>
      <c r="F34">
        <f t="shared" si="3"/>
        <v>1503.056794637652</v>
      </c>
      <c r="G34">
        <f t="shared" si="4"/>
        <v>2679.1912861833148</v>
      </c>
      <c r="H34">
        <f t="shared" si="5"/>
        <v>0</v>
      </c>
      <c r="I34">
        <f>IF(H34&gt;0,densSatLiqPW(E34),h_to_rho(C34,E34))</f>
        <v>792.90531631379224</v>
      </c>
      <c r="J34">
        <f t="shared" si="6"/>
        <v>72.382044179461701</v>
      </c>
      <c r="K34">
        <f t="shared" si="7"/>
        <v>-1</v>
      </c>
      <c r="L34">
        <f t="shared" si="8"/>
        <v>-18</v>
      </c>
      <c r="M34">
        <f t="shared" si="15"/>
        <v>-6.2324508952278181</v>
      </c>
      <c r="N34">
        <f t="shared" si="9"/>
        <v>1</v>
      </c>
      <c r="O34">
        <f t="shared" si="10"/>
        <v>792.90531631379224</v>
      </c>
      <c r="Q34">
        <f t="shared" si="12"/>
        <v>260.08917136161415</v>
      </c>
    </row>
    <row r="35" spans="1:17">
      <c r="A35">
        <f t="shared" si="13"/>
        <v>260</v>
      </c>
      <c r="B35">
        <f t="shared" si="11"/>
        <v>1.1486448139687682</v>
      </c>
      <c r="C35">
        <f t="shared" si="14"/>
        <v>1178.9169862402591</v>
      </c>
      <c r="D35">
        <f t="shared" si="1"/>
        <v>12284.250870230735</v>
      </c>
      <c r="E35">
        <f t="shared" si="2"/>
        <v>122.84250870230736</v>
      </c>
      <c r="F35">
        <f t="shared" si="3"/>
        <v>1502.8013313094173</v>
      </c>
      <c r="G35">
        <f t="shared" si="4"/>
        <v>2679.3326517195874</v>
      </c>
      <c r="H35">
        <f t="shared" si="5"/>
        <v>0</v>
      </c>
      <c r="I35">
        <f>IF(H35&gt;0,densSatLiqPW(E35),h_to_rho(C35,E35))</f>
        <v>778.3303580432688</v>
      </c>
      <c r="J35">
        <f t="shared" si="6"/>
        <v>72.331262219157821</v>
      </c>
      <c r="K35">
        <f t="shared" si="7"/>
        <v>-1</v>
      </c>
      <c r="L35">
        <f t="shared" si="8"/>
        <v>-18</v>
      </c>
      <c r="M35">
        <f t="shared" si="15"/>
        <v>-6.3491593221603093</v>
      </c>
      <c r="N35">
        <f t="shared" si="9"/>
        <v>1</v>
      </c>
      <c r="O35">
        <f t="shared" si="10"/>
        <v>778.3303580432688</v>
      </c>
      <c r="Q35">
        <f t="shared" si="12"/>
        <v>269.14053464783422</v>
      </c>
    </row>
    <row r="36" spans="1:17">
      <c r="A36">
        <f t="shared" si="13"/>
        <v>280</v>
      </c>
      <c r="B36">
        <f t="shared" si="11"/>
        <v>1.2370021073509812</v>
      </c>
      <c r="C36">
        <f t="shared" si="14"/>
        <v>1223.4490621048944</v>
      </c>
      <c r="D36">
        <f t="shared" si="1"/>
        <v>12277.775621435861</v>
      </c>
      <c r="E36">
        <f t="shared" si="2"/>
        <v>122.77775621435862</v>
      </c>
      <c r="F36">
        <f t="shared" si="3"/>
        <v>1502.5407586705901</v>
      </c>
      <c r="G36">
        <f t="shared" si="4"/>
        <v>2679.476744627787</v>
      </c>
      <c r="H36">
        <f t="shared" si="5"/>
        <v>0</v>
      </c>
      <c r="I36">
        <f>IF(H36&gt;0,densSatLiqPW(E36),h_to_rho(C36,E36))</f>
        <v>763.1742972413025</v>
      </c>
      <c r="J36">
        <f t="shared" si="6"/>
        <v>72.279496789818694</v>
      </c>
      <c r="K36">
        <f t="shared" si="7"/>
        <v>-1</v>
      </c>
      <c r="L36">
        <f t="shared" si="8"/>
        <v>-18</v>
      </c>
      <c r="M36">
        <f t="shared" si="15"/>
        <v>-6.4752487948743083</v>
      </c>
      <c r="N36">
        <f t="shared" si="9"/>
        <v>1</v>
      </c>
      <c r="O36">
        <f t="shared" si="10"/>
        <v>763.1742972413025</v>
      </c>
      <c r="Q36">
        <f t="shared" si="12"/>
        <v>277.97577141848922</v>
      </c>
    </row>
    <row r="37" spans="1:17">
      <c r="A37">
        <f t="shared" si="13"/>
        <v>300</v>
      </c>
      <c r="B37">
        <f t="shared" si="11"/>
        <v>1.3253594007331939</v>
      </c>
      <c r="C37">
        <f t="shared" si="14"/>
        <v>1267.9811379695298</v>
      </c>
      <c r="D37">
        <f t="shared" si="1"/>
        <v>12271.163589414784</v>
      </c>
      <c r="E37">
        <f t="shared" si="2"/>
        <v>122.71163589414783</v>
      </c>
      <c r="F37">
        <f t="shared" si="3"/>
        <v>1502.2746440716514</v>
      </c>
      <c r="G37">
        <f t="shared" si="4"/>
        <v>2679.6237980094174</v>
      </c>
      <c r="H37">
        <f t="shared" si="5"/>
        <v>0</v>
      </c>
      <c r="I37">
        <f>IF(H37&gt;0,densSatLiqPW(E37),h_to_rho(C37,E37))</f>
        <v>747.3864967286961</v>
      </c>
      <c r="J37">
        <f t="shared" si="6"/>
        <v>72.226663911086447</v>
      </c>
      <c r="K37">
        <f t="shared" si="7"/>
        <v>-1</v>
      </c>
      <c r="L37">
        <f t="shared" si="8"/>
        <v>-18</v>
      </c>
      <c r="M37">
        <f t="shared" si="15"/>
        <v>-6.6120320210771224</v>
      </c>
      <c r="N37">
        <f t="shared" si="9"/>
        <v>1</v>
      </c>
      <c r="O37">
        <f t="shared" si="10"/>
        <v>747.3864967286961</v>
      </c>
      <c r="Q37">
        <f t="shared" si="12"/>
        <v>286.56980478376852</v>
      </c>
    </row>
    <row r="38" spans="1:17">
      <c r="A38">
        <f t="shared" si="13"/>
        <v>320</v>
      </c>
      <c r="B38">
        <f t="shared" si="11"/>
        <v>1.4137166941154069</v>
      </c>
      <c r="C38">
        <f t="shared" si="14"/>
        <v>1312.5132138341651</v>
      </c>
      <c r="D38">
        <f t="shared" si="1"/>
        <v>12264.402439756837</v>
      </c>
      <c r="E38">
        <f t="shared" si="2"/>
        <v>122.64402439756837</v>
      </c>
      <c r="F38">
        <f t="shared" si="3"/>
        <v>1502.0024885118833</v>
      </c>
      <c r="G38">
        <f t="shared" si="4"/>
        <v>2679.7740807826663</v>
      </c>
      <c r="H38">
        <f t="shared" si="5"/>
        <v>0</v>
      </c>
      <c r="I38">
        <f>IF(H38&gt;0,densSatLiqPW(E38),h_to_rho(C38,E38))</f>
        <v>730.90283435487481</v>
      </c>
      <c r="J38">
        <f t="shared" si="6"/>
        <v>72.172666701592505</v>
      </c>
      <c r="K38">
        <f t="shared" si="7"/>
        <v>-1</v>
      </c>
      <c r="L38">
        <f t="shared" si="8"/>
        <v>-18</v>
      </c>
      <c r="M38">
        <f t="shared" si="15"/>
        <v>-6.7611496579467767</v>
      </c>
      <c r="N38">
        <f t="shared" si="9"/>
        <v>1</v>
      </c>
      <c r="O38">
        <f t="shared" si="10"/>
        <v>730.90283435487481</v>
      </c>
      <c r="Q38">
        <f t="shared" si="12"/>
        <v>294.89346057622231</v>
      </c>
    </row>
    <row r="39" spans="1:17">
      <c r="A39">
        <f t="shared" si="13"/>
        <v>340</v>
      </c>
      <c r="B39">
        <f t="shared" si="11"/>
        <v>1.5020739874976199</v>
      </c>
      <c r="C39">
        <f t="shared" si="14"/>
        <v>1357.0452896988004</v>
      </c>
      <c r="D39">
        <f t="shared" si="1"/>
        <v>12257.477756555701</v>
      </c>
      <c r="E39">
        <f t="shared" si="2"/>
        <v>122.57477756555701</v>
      </c>
      <c r="F39">
        <f t="shared" si="3"/>
        <v>1501.7237088248162</v>
      </c>
      <c r="G39">
        <f t="shared" si="4"/>
        <v>2679.9279073351636</v>
      </c>
      <c r="H39">
        <f t="shared" si="5"/>
        <v>0</v>
      </c>
      <c r="I39">
        <f>IF(H39&gt;0,densSatLiqPW(E39),h_to_rho(C39,E39))</f>
        <v>713.64180930047883</v>
      </c>
      <c r="J39">
        <f t="shared" si="6"/>
        <v>72.11739190349445</v>
      </c>
      <c r="K39">
        <f t="shared" si="7"/>
        <v>-1</v>
      </c>
      <c r="L39">
        <f t="shared" si="8"/>
        <v>-18</v>
      </c>
      <c r="M39">
        <f t="shared" si="15"/>
        <v>-6.9246832011352488</v>
      </c>
      <c r="N39">
        <f>$N$17</f>
        <v>1</v>
      </c>
      <c r="O39">
        <f t="shared" si="10"/>
        <v>713.64180930047883</v>
      </c>
      <c r="Q39">
        <f t="shared" si="12"/>
        <v>302.91212567928437</v>
      </c>
    </row>
    <row r="40" spans="1:17">
      <c r="A40">
        <f t="shared" si="13"/>
        <v>360</v>
      </c>
      <c r="B40">
        <f t="shared" si="11"/>
        <v>1.5904312808798329</v>
      </c>
      <c r="C40">
        <f t="shared" si="14"/>
        <v>1401.5773655634357</v>
      </c>
      <c r="D40">
        <f t="shared" si="1"/>
        <v>12250.372456401023</v>
      </c>
      <c r="E40">
        <f t="shared" si="2"/>
        <v>122.50372456401023</v>
      </c>
      <c r="F40">
        <f t="shared" si="3"/>
        <v>1501.4376139963217</v>
      </c>
      <c r="G40">
        <f t="shared" si="4"/>
        <v>2680.0856503527866</v>
      </c>
      <c r="H40">
        <f t="shared" si="5"/>
        <v>0</v>
      </c>
      <c r="I40">
        <f>IF(H40&gt;0,densSatLiqPW(E40),h_to_rho(C40,E40))</f>
        <v>695.50101204889654</v>
      </c>
      <c r="J40">
        <f t="shared" si="6"/>
        <v>72.060705263434585</v>
      </c>
      <c r="K40">
        <f t="shared" si="7"/>
        <v>-1</v>
      </c>
      <c r="L40">
        <f t="shared" si="8"/>
        <v>-18</v>
      </c>
      <c r="M40">
        <f t="shared" si="15"/>
        <v>-7.1053001546795258</v>
      </c>
      <c r="N40">
        <f t="shared" ref="N40:N47" si="16">$N$18</f>
        <v>1</v>
      </c>
      <c r="O40">
        <f t="shared" si="10"/>
        <v>695.50101204889654</v>
      </c>
      <c r="Q40">
        <f t="shared" si="12"/>
        <v>310.5843097481295</v>
      </c>
    </row>
    <row r="41" spans="1:17">
      <c r="A41">
        <f t="shared" si="13"/>
        <v>380</v>
      </c>
      <c r="B41">
        <f t="shared" si="11"/>
        <v>1.6787885742620459</v>
      </c>
      <c r="C41">
        <f t="shared" si="14"/>
        <v>1446.109441428071</v>
      </c>
      <c r="D41">
        <f t="shared" si="1"/>
        <v>12243.066039044139</v>
      </c>
      <c r="E41">
        <f t="shared" si="2"/>
        <v>122.43066039044139</v>
      </c>
      <c r="F41">
        <f t="shared" si="3"/>
        <v>1501.1433748743907</v>
      </c>
      <c r="G41">
        <f t="shared" si="4"/>
        <v>2680.2477572074945</v>
      </c>
      <c r="H41">
        <f t="shared" si="5"/>
        <v>0</v>
      </c>
      <c r="I41">
        <f>IF(H41&gt;0,densSatLiqPW(E41),h_to_rho(C41,E41))</f>
        <v>676.35657903326126</v>
      </c>
      <c r="J41">
        <f t="shared" si="6"/>
        <v>72.002445631178574</v>
      </c>
      <c r="K41">
        <f t="shared" si="7"/>
        <v>-1</v>
      </c>
      <c r="L41">
        <f t="shared" si="8"/>
        <v>-18</v>
      </c>
      <c r="M41">
        <f t="shared" si="15"/>
        <v>-7.3064173568832391</v>
      </c>
      <c r="N41">
        <f t="shared" si="16"/>
        <v>1</v>
      </c>
      <c r="O41">
        <f t="shared" si="10"/>
        <v>676.35657903326126</v>
      </c>
      <c r="Q41">
        <f t="shared" si="12"/>
        <v>317.86011486222458</v>
      </c>
    </row>
    <row r="42" spans="1:17">
      <c r="A42">
        <f t="shared" si="13"/>
        <v>400</v>
      </c>
      <c r="B42">
        <f t="shared" si="11"/>
        <v>1.7671458676442586</v>
      </c>
      <c r="C42">
        <f t="shared" si="14"/>
        <v>1490.6415172927063</v>
      </c>
      <c r="D42">
        <f t="shared" si="1"/>
        <v>12235.533566510454</v>
      </c>
      <c r="E42">
        <f t="shared" si="2"/>
        <v>122.35533566510453</v>
      </c>
      <c r="F42">
        <f t="shared" si="3"/>
        <v>1500.8399829000296</v>
      </c>
      <c r="G42">
        <f t="shared" si="4"/>
        <v>2680.4147722797438</v>
      </c>
      <c r="H42">
        <f t="shared" si="5"/>
        <v>0</v>
      </c>
      <c r="I42">
        <f>IF(H42&gt;0,densSatLiqPW(E42),h_to_rho(C42,E42))</f>
        <v>656.05860843063681</v>
      </c>
      <c r="J42">
        <f t="shared" si="6"/>
        <v>71.942416921023522</v>
      </c>
      <c r="K42">
        <f t="shared" si="7"/>
        <v>-1</v>
      </c>
      <c r="L42">
        <f t="shared" si="8"/>
        <v>-18</v>
      </c>
      <c r="M42">
        <f t="shared" si="15"/>
        <v>-7.5324725336841123</v>
      </c>
      <c r="N42">
        <f t="shared" si="16"/>
        <v>1</v>
      </c>
      <c r="O42">
        <f t="shared" si="10"/>
        <v>656.05860843063681</v>
      </c>
      <c r="Q42">
        <f t="shared" si="12"/>
        <v>324.67880047038011</v>
      </c>
    </row>
    <row r="43" spans="1:17">
      <c r="A43">
        <f t="shared" si="13"/>
        <v>420</v>
      </c>
      <c r="B43">
        <f t="shared" si="11"/>
        <v>1.8555031610264716</v>
      </c>
      <c r="C43">
        <f t="shared" si="14"/>
        <v>1535.1735931573417</v>
      </c>
      <c r="D43">
        <f t="shared" si="1"/>
        <v>12215.132261333505</v>
      </c>
      <c r="E43">
        <f t="shared" si="2"/>
        <v>122.15132261333505</v>
      </c>
      <c r="F43">
        <f t="shared" si="3"/>
        <v>1500.0180090660369</v>
      </c>
      <c r="G43">
        <f t="shared" si="4"/>
        <v>2680.8665776851194</v>
      </c>
      <c r="H43">
        <f t="shared" si="5"/>
        <v>2.977145844569784E-2</v>
      </c>
      <c r="I43">
        <f>IF(H43&gt;0,densSatLiqPW(E43),h_to_rho(C43,E43))</f>
        <v>651.57290054054488</v>
      </c>
      <c r="J43">
        <f t="shared" si="6"/>
        <v>71.780002420804664</v>
      </c>
      <c r="K43">
        <f t="shared" si="7"/>
        <v>10.816684526925496</v>
      </c>
      <c r="L43">
        <f t="shared" si="8"/>
        <v>2.8575423661744019</v>
      </c>
      <c r="M43">
        <f t="shared" si="15"/>
        <v>-20.401305176949204</v>
      </c>
      <c r="N43">
        <f t="shared" si="16"/>
        <v>1</v>
      </c>
      <c r="O43">
        <f t="shared" si="10"/>
        <v>525.26090163408901</v>
      </c>
      <c r="Q43">
        <f t="shared" si="12"/>
        <v>326.04085918801138</v>
      </c>
    </row>
    <row r="44" spans="1:17">
      <c r="A44">
        <f t="shared" si="13"/>
        <v>440</v>
      </c>
      <c r="B44">
        <f t="shared" si="11"/>
        <v>1.9438604544086846</v>
      </c>
      <c r="C44">
        <f t="shared" si="14"/>
        <v>1579.705669021977</v>
      </c>
      <c r="D44">
        <f t="shared" si="1"/>
        <v>12178.993692790151</v>
      </c>
      <c r="E44">
        <f t="shared" si="2"/>
        <v>121.78993692790151</v>
      </c>
      <c r="F44">
        <f t="shared" si="3"/>
        <v>1498.5610629375378</v>
      </c>
      <c r="G44">
        <f t="shared" si="4"/>
        <v>2681.6649454939156</v>
      </c>
      <c r="H44">
        <f t="shared" si="5"/>
        <v>6.8586205557120916E-2</v>
      </c>
      <c r="I44">
        <f>IF(H44&gt;0,densSatLiqPW(E44),h_to_rho(C44,E44))</f>
        <v>652.17716970990909</v>
      </c>
      <c r="J44">
        <f t="shared" si="6"/>
        <v>71.49291135296194</v>
      </c>
      <c r="K44">
        <f t="shared" si="7"/>
        <v>4.4962927959465331</v>
      </c>
      <c r="L44">
        <f t="shared" si="8"/>
        <v>5.4975730813618791</v>
      </c>
      <c r="M44">
        <f t="shared" si="15"/>
        <v>-36.138568543353479</v>
      </c>
      <c r="N44">
        <f t="shared" si="16"/>
        <v>1</v>
      </c>
      <c r="O44">
        <f t="shared" si="10"/>
        <v>418.84756618922597</v>
      </c>
      <c r="Q44">
        <f t="shared" si="12"/>
        <v>325.81329833859274</v>
      </c>
    </row>
    <row r="45" spans="1:17">
      <c r="A45">
        <f t="shared" si="13"/>
        <v>460</v>
      </c>
      <c r="B45">
        <f t="shared" si="11"/>
        <v>2.0322177477908974</v>
      </c>
      <c r="C45">
        <f t="shared" si="14"/>
        <v>1624.2377448866123</v>
      </c>
      <c r="D45">
        <f t="shared" si="1"/>
        <v>12128.089118665943</v>
      </c>
      <c r="E45">
        <f t="shared" si="2"/>
        <v>121.28089118665943</v>
      </c>
      <c r="F45">
        <f t="shared" si="3"/>
        <v>1496.5068060871956</v>
      </c>
      <c r="G45">
        <f t="shared" si="4"/>
        <v>2682.7853014783586</v>
      </c>
      <c r="H45">
        <f t="shared" si="5"/>
        <v>0.10767365276844121</v>
      </c>
      <c r="I45">
        <f>IF(H45&gt;0,densSatLiqPW(E45),h_to_rho(C45,E45))</f>
        <v>653.02791400609635</v>
      </c>
      <c r="J45">
        <f t="shared" si="6"/>
        <v>71.089825734879625</v>
      </c>
      <c r="K45">
        <f>IF(H45&gt;0,((1-H45)/H45)*SQRT(J45/I45),-1)</f>
        <v>2.7343375197539186</v>
      </c>
      <c r="L45">
        <f t="shared" si="8"/>
        <v>8.448136578429434</v>
      </c>
      <c r="M45">
        <f t="shared" si="15"/>
        <v>-50.904574124207166</v>
      </c>
      <c r="N45">
        <f t="shared" si="16"/>
        <v>1</v>
      </c>
      <c r="O45">
        <f t="shared" si="10"/>
        <v>347.0946502559367</v>
      </c>
      <c r="Q45">
        <f t="shared" si="12"/>
        <v>325.4918550440957</v>
      </c>
    </row>
    <row r="46" spans="1:17">
      <c r="A46">
        <f t="shared" si="13"/>
        <v>480</v>
      </c>
      <c r="B46">
        <f t="shared" si="11"/>
        <v>2.1205750411731104</v>
      </c>
      <c r="C46">
        <f t="shared" si="14"/>
        <v>1668.7698207512476</v>
      </c>
      <c r="D46">
        <f t="shared" si="1"/>
        <v>12063.428732743265</v>
      </c>
      <c r="E46">
        <f t="shared" si="2"/>
        <v>120.63428732743265</v>
      </c>
      <c r="F46">
        <f t="shared" si="3"/>
        <v>1493.8939711624946</v>
      </c>
      <c r="G46">
        <f t="shared" si="4"/>
        <v>2684.2013290294663</v>
      </c>
      <c r="H46">
        <f t="shared" si="5"/>
        <v>0.14691654927020714</v>
      </c>
      <c r="I46">
        <f>IF(H46&gt;0,densSatLiqPW(E46),h_to_rho(C46,E46))</f>
        <v>654.10786611045796</v>
      </c>
      <c r="J46">
        <f t="shared" si="6"/>
        <v>70.580003506221047</v>
      </c>
      <c r="K46">
        <f t="shared" ref="K46:K62" si="17">IF(H46&gt;0,((1-H46)/H46)*SQRT(J46/I46),-1)</f>
        <v>1.9073787929397963</v>
      </c>
      <c r="L46">
        <f t="shared" si="8"/>
        <v>11.760463409653861</v>
      </c>
      <c r="M46">
        <f t="shared" si="15"/>
        <v>-64.660385922677506</v>
      </c>
      <c r="N46">
        <f t="shared" si="16"/>
        <v>1</v>
      </c>
      <c r="O46">
        <f t="shared" si="10"/>
        <v>295.35515315910652</v>
      </c>
      <c r="Q46">
        <f t="shared" si="12"/>
        <v>325.08201641484527</v>
      </c>
    </row>
    <row r="47" spans="1:17">
      <c r="A47">
        <f t="shared" si="13"/>
        <v>500</v>
      </c>
      <c r="B47">
        <f t="shared" si="11"/>
        <v>2.2089323345553233</v>
      </c>
      <c r="C47">
        <f t="shared" si="14"/>
        <v>1713.3018966158829</v>
      </c>
      <c r="D47">
        <f t="shared" si="1"/>
        <v>11986.050517609572</v>
      </c>
      <c r="E47">
        <f t="shared" si="2"/>
        <v>119.86050517609573</v>
      </c>
      <c r="F47">
        <f t="shared" si="3"/>
        <v>1490.7620045246272</v>
      </c>
      <c r="G47">
        <f t="shared" si="4"/>
        <v>2685.8855266398523</v>
      </c>
      <c r="H47">
        <f t="shared" si="5"/>
        <v>0.18620660373028808</v>
      </c>
      <c r="I47">
        <f>IF(H47&gt;0,densSatLiqPW(E47),h_to_rho(C47,E47))</f>
        <v>655.39927821975232</v>
      </c>
      <c r="J47">
        <f t="shared" si="6"/>
        <v>69.973088300113588</v>
      </c>
      <c r="K47">
        <f t="shared" si="17"/>
        <v>1.4280112342244935</v>
      </c>
      <c r="L47">
        <f t="shared" si="8"/>
        <v>15.495876577717082</v>
      </c>
      <c r="M47">
        <f t="shared" si="15"/>
        <v>-77.378215133693573</v>
      </c>
      <c r="N47">
        <f t="shared" si="16"/>
        <v>1</v>
      </c>
      <c r="O47">
        <f t="shared" si="10"/>
        <v>256.22674732294632</v>
      </c>
      <c r="Q47">
        <f t="shared" si="12"/>
        <v>324.58929374997092</v>
      </c>
    </row>
    <row r="48" spans="1:17">
      <c r="A48">
        <f t="shared" si="13"/>
        <v>520</v>
      </c>
      <c r="B48">
        <f t="shared" si="11"/>
        <v>2.2972896279375363</v>
      </c>
      <c r="C48">
        <f t="shared" si="14"/>
        <v>1757.8339724805182</v>
      </c>
      <c r="D48">
        <f t="shared" si="1"/>
        <v>11897.009829191611</v>
      </c>
      <c r="E48">
        <f t="shared" si="2"/>
        <v>118.97009829191612</v>
      </c>
      <c r="F48">
        <f t="shared" si="3"/>
        <v>1487.1507341760234</v>
      </c>
      <c r="G48">
        <f t="shared" si="4"/>
        <v>2687.8097293813507</v>
      </c>
      <c r="H48">
        <f t="shared" si="5"/>
        <v>0.22544555896839369</v>
      </c>
      <c r="I48">
        <f>IF(H48&gt;0,densSatLiqPW(E48),h_to_rho(C48,E48))</f>
        <v>656.88414101059175</v>
      </c>
      <c r="J48">
        <f t="shared" si="6"/>
        <v>69.278931588700871</v>
      </c>
      <c r="K48">
        <f t="shared" si="17"/>
        <v>1.1157488966090532</v>
      </c>
      <c r="L48">
        <f t="shared" si="8"/>
        <v>19.72846038403236</v>
      </c>
      <c r="M48">
        <f t="shared" si="15"/>
        <v>-89.040688417961235</v>
      </c>
      <c r="N48">
        <f>$N$18</f>
        <v>1</v>
      </c>
      <c r="O48">
        <f t="shared" si="10"/>
        <v>225.56529950676372</v>
      </c>
      <c r="Q48">
        <f t="shared" si="12"/>
        <v>324.01920833471172</v>
      </c>
    </row>
    <row r="49" spans="1:17">
      <c r="A49">
        <f t="shared" si="13"/>
        <v>540</v>
      </c>
      <c r="B49">
        <f t="shared" si="11"/>
        <v>2.3856469213197493</v>
      </c>
      <c r="C49">
        <f t="shared" si="14"/>
        <v>1802.3660483451536</v>
      </c>
      <c r="D49">
        <f t="shared" si="1"/>
        <v>11797.369976026224</v>
      </c>
      <c r="E49">
        <f t="shared" si="2"/>
        <v>117.97369976026225</v>
      </c>
      <c r="F49">
        <f t="shared" si="3"/>
        <v>1483.1000759628521</v>
      </c>
      <c r="G49">
        <f t="shared" si="4"/>
        <v>2689.9455791074556</v>
      </c>
      <c r="H49">
        <f t="shared" si="5"/>
        <v>0.264545852431326</v>
      </c>
      <c r="I49">
        <f>IF(H49&gt;0,densSatLiqPW(E49),h_to_rho(C49,E49))</f>
        <v>658.54437895159708</v>
      </c>
      <c r="J49">
        <f t="shared" si="6"/>
        <v>68.507432827083406</v>
      </c>
      <c r="K49">
        <f t="shared" si="17"/>
        <v>0.89666654771893317</v>
      </c>
      <c r="L49">
        <f t="shared" si="8"/>
        <v>24.548599908568665</v>
      </c>
      <c r="M49">
        <f t="shared" si="15"/>
        <v>-99.639853165386228</v>
      </c>
      <c r="N49">
        <f>$N$19</f>
        <v>1</v>
      </c>
      <c r="O49">
        <f t="shared" si="10"/>
        <v>200.86969504628871</v>
      </c>
      <c r="Q49">
        <f t="shared" si="12"/>
        <v>323.37727981142257</v>
      </c>
    </row>
    <row r="50" spans="1:17">
      <c r="A50">
        <f t="shared" si="13"/>
        <v>560</v>
      </c>
      <c r="B50">
        <f t="shared" si="11"/>
        <v>2.4740042147019623</v>
      </c>
      <c r="C50">
        <f t="shared" si="14"/>
        <v>1846.8981242097889</v>
      </c>
      <c r="D50">
        <f t="shared" si="1"/>
        <v>11688.193969852406</v>
      </c>
      <c r="E50">
        <f t="shared" si="2"/>
        <v>116.88193969852405</v>
      </c>
      <c r="F50">
        <f t="shared" si="3"/>
        <v>1478.6497867101705</v>
      </c>
      <c r="G50">
        <f t="shared" si="4"/>
        <v>2692.2649333997833</v>
      </c>
      <c r="H50">
        <f t="shared" si="5"/>
        <v>0.30343090105960857</v>
      </c>
      <c r="I50">
        <f>IF(H50&gt;0,densSatLiqPW(E50),h_to_rho(C50,E50))</f>
        <v>660.36201709558429</v>
      </c>
      <c r="J50">
        <f t="shared" si="6"/>
        <v>67.668401274254705</v>
      </c>
      <c r="K50">
        <f t="shared" si="17"/>
        <v>0.73486288423694446</v>
      </c>
      <c r="L50">
        <f t="shared" si="8"/>
        <v>30.067732954767489</v>
      </c>
      <c r="M50">
        <f t="shared" si="15"/>
        <v>-109.17600617381913</v>
      </c>
      <c r="N50">
        <f t="shared" ref="N50:N62" si="18">$N$19</f>
        <v>1</v>
      </c>
      <c r="O50">
        <f t="shared" si="10"/>
        <v>180.54078352245139</v>
      </c>
      <c r="Q50">
        <f t="shared" si="12"/>
        <v>322.6690179033435</v>
      </c>
    </row>
    <row r="51" spans="1:17">
      <c r="A51">
        <f t="shared" si="13"/>
        <v>580</v>
      </c>
      <c r="B51">
        <f t="shared" si="11"/>
        <v>2.5623615080841753</v>
      </c>
      <c r="C51">
        <f t="shared" si="14"/>
        <v>1891.4302000744242</v>
      </c>
      <c r="D51">
        <f t="shared" si="1"/>
        <v>11570.537544149645</v>
      </c>
      <c r="E51">
        <f t="shared" si="2"/>
        <v>115.70537544149646</v>
      </c>
      <c r="F51">
        <f t="shared" si="3"/>
        <v>1473.8392689613283</v>
      </c>
      <c r="G51">
        <f t="shared" si="4"/>
        <v>2694.7402082357007</v>
      </c>
      <c r="H51">
        <f t="shared" si="5"/>
        <v>0.34203506417259888</v>
      </c>
      <c r="I51">
        <f>IF(H51&gt;0,densSatLiqPW(E51),h_to_rho(C51,E51))</f>
        <v>662.31931691883074</v>
      </c>
      <c r="J51">
        <f t="shared" si="6"/>
        <v>66.771441355863558</v>
      </c>
      <c r="K51">
        <f t="shared" si="17"/>
        <v>0.61079262427721448</v>
      </c>
      <c r="L51">
        <f t="shared" si="8"/>
        <v>36.424816916166847</v>
      </c>
      <c r="M51">
        <f t="shared" si="15"/>
        <v>-117.65642570276079</v>
      </c>
      <c r="N51">
        <f t="shared" si="18"/>
        <v>1</v>
      </c>
      <c r="O51">
        <f t="shared" si="10"/>
        <v>163.5082077129122</v>
      </c>
      <c r="Q51">
        <f t="shared" si="12"/>
        <v>321.89991796646927</v>
      </c>
    </row>
    <row r="52" spans="1:17">
      <c r="A52">
        <f t="shared" si="13"/>
        <v>600</v>
      </c>
      <c r="B52">
        <f t="shared" si="11"/>
        <v>2.6507188014663878</v>
      </c>
      <c r="C52">
        <f t="shared" si="14"/>
        <v>1935.9622759390593</v>
      </c>
      <c r="D52">
        <f t="shared" si="1"/>
        <v>11445.443468699565</v>
      </c>
      <c r="E52">
        <f t="shared" si="2"/>
        <v>114.45443468699564</v>
      </c>
      <c r="F52">
        <f t="shared" si="3"/>
        <v>1468.7074286135999</v>
      </c>
      <c r="G52">
        <f t="shared" si="4"/>
        <v>2697.3446536159977</v>
      </c>
      <c r="H52">
        <f t="shared" si="5"/>
        <v>0.38030334570446334</v>
      </c>
      <c r="I52">
        <f>IF(H52&gt;0,densSatLiqPW(E52),h_to_rho(C52,E52))</f>
        <v>664.39888083212577</v>
      </c>
      <c r="J52">
        <f t="shared" si="6"/>
        <v>65.825861883984913</v>
      </c>
      <c r="K52">
        <f t="shared" si="17"/>
        <v>0.51290016207488387</v>
      </c>
      <c r="L52">
        <f t="shared" si="8"/>
        <v>43.795262711455862</v>
      </c>
      <c r="M52">
        <f t="shared" si="15"/>
        <v>-125.09407545008143</v>
      </c>
      <c r="N52">
        <f t="shared" si="18"/>
        <v>1</v>
      </c>
      <c r="O52">
        <f t="shared" si="10"/>
        <v>149.02833931884982</v>
      </c>
      <c r="Q52">
        <f t="shared" si="12"/>
        <v>321.07546058685148</v>
      </c>
    </row>
    <row r="53" spans="1:17">
      <c r="A53">
        <f t="shared" si="13"/>
        <v>620</v>
      </c>
      <c r="B53">
        <f t="shared" si="11"/>
        <v>2.7390760948486008</v>
      </c>
      <c r="C53">
        <f t="shared" si="14"/>
        <v>1980.4943518036946</v>
      </c>
      <c r="D53">
        <f t="shared" si="1"/>
        <v>11313.937133689962</v>
      </c>
      <c r="E53">
        <f t="shared" si="2"/>
        <v>113.13937133689961</v>
      </c>
      <c r="F53">
        <f t="shared" si="3"/>
        <v>1463.2925841011929</v>
      </c>
      <c r="G53">
        <f t="shared" si="4"/>
        <v>2700.052564757284</v>
      </c>
      <c r="H53">
        <f t="shared" si="5"/>
        <v>0.41819089863186742</v>
      </c>
      <c r="I53">
        <f>IF(H53&gt;0,densSatLiqPW(E53),h_to_rho(C53,E53))</f>
        <v>666.58372657596215</v>
      </c>
      <c r="J53">
        <f t="shared" si="6"/>
        <v>64.840608233334876</v>
      </c>
      <c r="K53">
        <f t="shared" si="17"/>
        <v>0.43391245926807026</v>
      </c>
      <c r="L53">
        <f t="shared" si="8"/>
        <v>52.403484377783876</v>
      </c>
      <c r="M53">
        <f t="shared" si="15"/>
        <v>-131.50633500960228</v>
      </c>
      <c r="N53">
        <f t="shared" si="18"/>
        <v>1</v>
      </c>
      <c r="O53">
        <f t="shared" si="10"/>
        <v>136.56829449793423</v>
      </c>
      <c r="Q53">
        <f t="shared" si="12"/>
        <v>320.20111523540857</v>
      </c>
    </row>
    <row r="54" spans="1:17">
      <c r="A54">
        <f t="shared" si="13"/>
        <v>640</v>
      </c>
      <c r="B54">
        <f t="shared" si="11"/>
        <v>2.8274333882308138</v>
      </c>
      <c r="C54">
        <f t="shared" si="14"/>
        <v>2025.0264276683299</v>
      </c>
      <c r="D54">
        <f t="shared" si="1"/>
        <v>11177.023336897002</v>
      </c>
      <c r="E54">
        <f t="shared" si="2"/>
        <v>111.77023336897003</v>
      </c>
      <c r="F54">
        <f t="shared" si="3"/>
        <v>1457.6324238915065</v>
      </c>
      <c r="G54">
        <f t="shared" si="4"/>
        <v>2702.8394338622161</v>
      </c>
      <c r="H54">
        <f t="shared" si="5"/>
        <v>0.45566239125988384</v>
      </c>
      <c r="I54">
        <f>IF(H54&gt;0,densSatLiqPW(E54),h_to_rho(C54,E54))</f>
        <v>668.85733381350656</v>
      </c>
      <c r="J54">
        <f t="shared" si="6"/>
        <v>63.824215708132456</v>
      </c>
      <c r="K54">
        <f t="shared" si="17"/>
        <v>0.36902106073821983</v>
      </c>
      <c r="L54">
        <f t="shared" si="8"/>
        <v>62.540857284424057</v>
      </c>
      <c r="M54">
        <f t="shared" si="15"/>
        <v>-136.91379679295972</v>
      </c>
      <c r="N54">
        <f t="shared" si="18"/>
        <v>1</v>
      </c>
      <c r="O54">
        <f t="shared" si="10"/>
        <v>125.73608846520857</v>
      </c>
      <c r="Q54">
        <f t="shared" si="12"/>
        <v>319.28234783954599</v>
      </c>
    </row>
    <row r="55" spans="1:17">
      <c r="A55">
        <f t="shared" si="13"/>
        <v>660</v>
      </c>
      <c r="B55">
        <f t="shared" si="11"/>
        <v>2.9157906816130268</v>
      </c>
      <c r="C55">
        <f t="shared" si="14"/>
        <v>2069.5585035329655</v>
      </c>
      <c r="D55">
        <f t="shared" si="1"/>
        <v>11035.684181190316</v>
      </c>
      <c r="E55">
        <f t="shared" si="2"/>
        <v>110.35684181190317</v>
      </c>
      <c r="F55">
        <f t="shared" si="3"/>
        <v>1451.7640078710479</v>
      </c>
      <c r="G55">
        <f t="shared" si="4"/>
        <v>2705.6820489831143</v>
      </c>
      <c r="H55">
        <f t="shared" si="5"/>
        <v>0.49269128874963197</v>
      </c>
      <c r="I55">
        <f>IF(H55&gt;0,densSatLiqPW(E55),h_to_rho(C55,E55))</f>
        <v>671.20366588836794</v>
      </c>
      <c r="J55">
        <f t="shared" si="6"/>
        <v>62.784781795779359</v>
      </c>
      <c r="K55">
        <f t="shared" si="17"/>
        <v>0.31491799009884658</v>
      </c>
      <c r="L55">
        <f t="shared" si="8"/>
        <v>74.591952898547348</v>
      </c>
      <c r="M55">
        <f t="shared" si="15"/>
        <v>-141.33915570668643</v>
      </c>
      <c r="N55">
        <f t="shared" si="18"/>
        <v>1</v>
      </c>
      <c r="O55">
        <f t="shared" si="10"/>
        <v>116.23685080472143</v>
      </c>
      <c r="Q55">
        <f t="shared" si="12"/>
        <v>318.32463202604185</v>
      </c>
    </row>
    <row r="56" spans="1:17">
      <c r="A56">
        <f t="shared" si="13"/>
        <v>680</v>
      </c>
      <c r="B56">
        <f t="shared" si="11"/>
        <v>3.0041479749952398</v>
      </c>
      <c r="C56">
        <f t="shared" si="14"/>
        <v>2114.0905793976008</v>
      </c>
      <c r="D56">
        <f t="shared" si="1"/>
        <v>10890.877975206451</v>
      </c>
      <c r="E56">
        <f t="shared" si="2"/>
        <v>108.9087797520645</v>
      </c>
      <c r="F56">
        <f t="shared" si="3"/>
        <v>1445.7238075881612</v>
      </c>
      <c r="G56">
        <f t="shared" si="4"/>
        <v>2708.5585472075013</v>
      </c>
      <c r="H56">
        <f t="shared" si="5"/>
        <v>0.52925909530403592</v>
      </c>
      <c r="I56">
        <f>IF(H56&gt;0,densSatLiqPW(E56),h_to_rho(C56,E56))</f>
        <v>673.60716999394572</v>
      </c>
      <c r="J56">
        <f t="shared" si="6"/>
        <v>61.729954745322281</v>
      </c>
      <c r="K56">
        <f t="shared" si="17"/>
        <v>0.26925156497928837</v>
      </c>
      <c r="L56">
        <f t="shared" si="8"/>
        <v>89.073764183392825</v>
      </c>
      <c r="M56">
        <f t="shared" si="15"/>
        <v>-144.80620598386412</v>
      </c>
      <c r="N56">
        <f t="shared" si="18"/>
        <v>1</v>
      </c>
      <c r="O56">
        <f t="shared" si="10"/>
        <v>107.84442372938668</v>
      </c>
      <c r="Q56">
        <f t="shared" si="12"/>
        <v>317.33346372448398</v>
      </c>
    </row>
    <row r="57" spans="1:17">
      <c r="A57">
        <f t="shared" si="13"/>
        <v>700</v>
      </c>
      <c r="B57">
        <f t="shared" si="11"/>
        <v>3.0925052683774528</v>
      </c>
      <c r="C57">
        <f t="shared" si="14"/>
        <v>2158.6226552622361</v>
      </c>
      <c r="D57">
        <f t="shared" si="1"/>
        <v>10743.53902528712</v>
      </c>
      <c r="E57">
        <f t="shared" si="2"/>
        <v>107.4353902528712</v>
      </c>
      <c r="F57">
        <f t="shared" si="3"/>
        <v>1439.5477801567295</v>
      </c>
      <c r="G57">
        <f t="shared" si="4"/>
        <v>2711.4484294712584</v>
      </c>
      <c r="H57">
        <f t="shared" si="5"/>
        <v>0.56535459392448684</v>
      </c>
      <c r="I57">
        <f>IF(H57&gt;0,densSatLiqPW(E57),h_to_rho(C57,E57))</f>
        <v>676.0527589974165</v>
      </c>
      <c r="J57">
        <f t="shared" si="6"/>
        <v>60.666935871454172</v>
      </c>
      <c r="K57">
        <f t="shared" si="17"/>
        <v>0.23030316358713809</v>
      </c>
      <c r="L57">
        <f t="shared" si="8"/>
        <v>106.69591129835646</v>
      </c>
      <c r="M57">
        <f t="shared" si="15"/>
        <v>-147.3389499193313</v>
      </c>
      <c r="N57">
        <f t="shared" si="18"/>
        <v>1</v>
      </c>
      <c r="O57">
        <f t="shared" si="10"/>
        <v>100.38238848364318</v>
      </c>
      <c r="Q57">
        <f t="shared" si="12"/>
        <v>316.31437878561087</v>
      </c>
    </row>
    <row r="58" spans="1:17">
      <c r="A58">
        <f t="shared" si="13"/>
        <v>720</v>
      </c>
      <c r="B58">
        <f t="shared" si="11"/>
        <v>3.1808625617596658</v>
      </c>
      <c r="C58">
        <f t="shared" si="14"/>
        <v>2203.1547311268714</v>
      </c>
      <c r="D58">
        <f t="shared" si="1"/>
        <v>10594.578209362213</v>
      </c>
      <c r="E58">
        <f t="shared" si="2"/>
        <v>105.94578209362213</v>
      </c>
      <c r="F58">
        <f t="shared" si="3"/>
        <v>1433.2714707755729</v>
      </c>
      <c r="G58">
        <f t="shared" si="4"/>
        <v>2714.332543912682</v>
      </c>
      <c r="H58">
        <f t="shared" si="5"/>
        <v>0.60097311244184493</v>
      </c>
      <c r="I58">
        <f>IF(H58&gt;0,densSatLiqPW(E58),h_to_rho(C58,E58))</f>
        <v>678.52577796267258</v>
      </c>
      <c r="J58">
        <f t="shared" si="6"/>
        <v>59.602493108333661</v>
      </c>
      <c r="K58">
        <f t="shared" si="17"/>
        <v>0.19678688710546</v>
      </c>
      <c r="L58">
        <f t="shared" si="8"/>
        <v>128.45584715741001</v>
      </c>
      <c r="M58">
        <f t="shared" si="15"/>
        <v>-148.96081592490756</v>
      </c>
      <c r="N58">
        <f t="shared" si="18"/>
        <v>1</v>
      </c>
      <c r="O58">
        <f t="shared" si="10"/>
        <v>93.711061083814727</v>
      </c>
      <c r="Q58">
        <f t="shared" si="12"/>
        <v>315.27297325503332</v>
      </c>
    </row>
    <row r="59" spans="1:17">
      <c r="A59">
        <f t="shared" si="13"/>
        <v>740</v>
      </c>
      <c r="B59">
        <f t="shared" si="11"/>
        <v>3.2692198551418787</v>
      </c>
      <c r="C59">
        <f t="shared" si="14"/>
        <v>2247.6868069915067</v>
      </c>
      <c r="D59">
        <f t="shared" si="1"/>
        <v>10444.884231221358</v>
      </c>
      <c r="E59">
        <f t="shared" si="2"/>
        <v>104.44884231221359</v>
      </c>
      <c r="F59">
        <f t="shared" si="3"/>
        <v>1426.9301391591189</v>
      </c>
      <c r="G59">
        <f t="shared" si="4"/>
        <v>2717.1930439681219</v>
      </c>
      <c r="H59">
        <f t="shared" si="5"/>
        <v>0.63611583714706899</v>
      </c>
      <c r="I59">
        <f>IF(H59&gt;0,densSatLiqPW(E59),h_to_rho(C59,E59))</f>
        <v>681.01195810394813</v>
      </c>
      <c r="J59">
        <f t="shared" si="6"/>
        <v>58.542983567442015</v>
      </c>
      <c r="K59">
        <f t="shared" si="17"/>
        <v>0.16772083012191524</v>
      </c>
      <c r="L59">
        <f t="shared" si="8"/>
        <v>155.79465860244898</v>
      </c>
      <c r="M59">
        <f t="shared" si="15"/>
        <v>-149.69397814085406</v>
      </c>
      <c r="N59">
        <f t="shared" si="18"/>
        <v>1</v>
      </c>
      <c r="O59">
        <f t="shared" si="10"/>
        <v>87.71837627624609</v>
      </c>
      <c r="Q59">
        <f t="shared" si="12"/>
        <v>314.21492594070003</v>
      </c>
    </row>
    <row r="60" spans="1:17">
      <c r="A60">
        <f t="shared" si="13"/>
        <v>760</v>
      </c>
      <c r="B60">
        <f t="shared" si="11"/>
        <v>3.3575771485240917</v>
      </c>
      <c r="C60">
        <f t="shared" si="14"/>
        <v>2292.218882856142</v>
      </c>
      <c r="D60">
        <f t="shared" si="1"/>
        <v>10295.325464708441</v>
      </c>
      <c r="E60">
        <f t="shared" si="2"/>
        <v>102.95325464708441</v>
      </c>
      <c r="F60">
        <f t="shared" si="3"/>
        <v>1420.5589056084409</v>
      </c>
      <c r="G60">
        <f t="shared" si="4"/>
        <v>2720.0133265110026</v>
      </c>
      <c r="H60">
        <f t="shared" si="5"/>
        <v>0.67078918908311724</v>
      </c>
      <c r="I60">
        <f>IF(H60&gt;0,densSatLiqPW(E60),h_to_rho(C60,E60))</f>
        <v>683.49736053910112</v>
      </c>
      <c r="J60">
        <f t="shared" si="6"/>
        <v>57.49438314434537</v>
      </c>
      <c r="K60">
        <f t="shared" si="17"/>
        <v>0.14234175706029684</v>
      </c>
      <c r="L60">
        <f t="shared" si="8"/>
        <v>190.86238402975428</v>
      </c>
      <c r="M60">
        <f t="shared" si="15"/>
        <v>-149.55876651291715</v>
      </c>
      <c r="N60">
        <f t="shared" si="18"/>
        <v>1</v>
      </c>
      <c r="O60">
        <f t="shared" si="10"/>
        <v>82.313368285238596</v>
      </c>
      <c r="Q60">
        <f t="shared" si="12"/>
        <v>313.14602291462495</v>
      </c>
    </row>
    <row r="61" spans="1:17">
      <c r="A61">
        <f t="shared" si="13"/>
        <v>780</v>
      </c>
      <c r="B61">
        <f t="shared" si="11"/>
        <v>3.4459344419063043</v>
      </c>
      <c r="C61">
        <f t="shared" si="14"/>
        <v>2336.7509587207774</v>
      </c>
      <c r="D61">
        <f>D62-M62</f>
        <v>10146.752310286998</v>
      </c>
      <c r="E61">
        <f>D61/100</f>
        <v>101.46752310286998</v>
      </c>
      <c r="F61">
        <f>enthalpySatLiqPW(E61)</f>
        <v>1414.1929128990998</v>
      </c>
      <c r="G61">
        <f>enthalpysatvappw(E61)</f>
        <v>2722.7779543532797</v>
      </c>
      <c r="H61">
        <f>MAX(TREND($F$64:$G$64,F61:G61,C61,TRUE),0)</f>
        <v>0.70500427300962776</v>
      </c>
      <c r="I61">
        <f>IF(H61&gt;0,densSatLiqPW(E61),h_to_rho(C61,E61))</f>
        <v>685.96831184637563</v>
      </c>
      <c r="J61">
        <f>denssatvappw(E61)</f>
        <v>56.462321535530108</v>
      </c>
      <c r="K61">
        <f t="shared" si="17"/>
        <v>0.12004700083679794</v>
      </c>
      <c r="L61">
        <f>1+20/K61+1/K61^2</f>
        <v>236.99149055584701</v>
      </c>
      <c r="M61">
        <f t="shared" si="15"/>
        <v>-148.57315442144255</v>
      </c>
      <c r="N61">
        <f t="shared" si="18"/>
        <v>1</v>
      </c>
      <c r="O61">
        <f t="shared" si="10"/>
        <v>77.421424829317345</v>
      </c>
      <c r="Q61">
        <f t="shared" si="12"/>
        <v>312.07218358900263</v>
      </c>
    </row>
    <row r="62" spans="1:17">
      <c r="A62">
        <f t="shared" si="13"/>
        <v>800</v>
      </c>
      <c r="B62">
        <f t="shared" si="11"/>
        <v>3.5342917352885173</v>
      </c>
      <c r="C62">
        <f t="shared" si="14"/>
        <v>2381.2830345854127</v>
      </c>
      <c r="D62">
        <f>C15</f>
        <v>10000</v>
      </c>
      <c r="E62">
        <f>D62/100</f>
        <v>100</v>
      </c>
      <c r="F62">
        <f>enthalpySatLiqPW(E62)</f>
        <v>1407.8675005682435</v>
      </c>
      <c r="G62">
        <f>enthalpysatvappw(E62)</f>
        <v>2725.4725664387411</v>
      </c>
      <c r="H62">
        <f>TREND($F$64:$G$64,F62:G62,C62,TRUE)</f>
        <v>0.73877640518486176</v>
      </c>
      <c r="I62">
        <f>IF(H62&gt;0,densSatLiqPW(E62),h_to_rho(C62,E62))</f>
        <v>688.41133309216536</v>
      </c>
      <c r="J62">
        <f>denssatvappw(E62)</f>
        <v>55.452121343164642</v>
      </c>
      <c r="K62">
        <f t="shared" si="17"/>
        <v>0.10035394781483103</v>
      </c>
      <c r="L62">
        <f>1+20/K62+1/K62^2</f>
        <v>299.5904461975295</v>
      </c>
      <c r="M62">
        <f t="shared" si="15"/>
        <v>-146.75231028699739</v>
      </c>
      <c r="N62">
        <f t="shared" si="18"/>
        <v>1</v>
      </c>
      <c r="O62">
        <f>1/(H62/J62+(1-H62)/I62)</f>
        <v>72.98077637876051</v>
      </c>
      <c r="Q62">
        <f t="shared" si="12"/>
        <v>310.99948799852825</v>
      </c>
    </row>
    <row r="63" spans="1:17">
      <c r="D63" t="s">
        <v>146</v>
      </c>
      <c r="E63" t="s">
        <v>4</v>
      </c>
      <c r="F63" t="s">
        <v>155</v>
      </c>
      <c r="G63" t="s">
        <v>156</v>
      </c>
      <c r="H63" t="s">
        <v>108</v>
      </c>
      <c r="I63" t="s">
        <v>157</v>
      </c>
      <c r="J63" t="s">
        <v>158</v>
      </c>
      <c r="K63" t="s">
        <v>159</v>
      </c>
      <c r="L63" t="s">
        <v>160</v>
      </c>
      <c r="M63" t="s">
        <v>163</v>
      </c>
      <c r="O63" t="s">
        <v>168</v>
      </c>
    </row>
    <row r="64" spans="1:17">
      <c r="F64">
        <v>0</v>
      </c>
      <c r="G64">
        <v>1</v>
      </c>
    </row>
    <row r="65" spans="12:13" ht="16">
      <c r="L65" s="46" t="s">
        <v>161</v>
      </c>
    </row>
    <row r="67" spans="12:13" ht="16">
      <c r="M67" s="47" t="s">
        <v>162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pageSetUpPr fitToPage="1"/>
  </sheetPr>
  <dimension ref="A1:AF133"/>
  <sheetViews>
    <sheetView topLeftCell="A12" workbookViewId="0">
      <selection activeCell="J25" sqref="J25"/>
    </sheetView>
  </sheetViews>
  <sheetFormatPr baseColWidth="10" defaultColWidth="8.83203125" defaultRowHeight="13"/>
  <cols>
    <col min="1" max="1" width="9.83203125" customWidth="1"/>
    <col min="2" max="2" width="15.33203125" customWidth="1"/>
    <col min="3" max="3" width="10" customWidth="1"/>
    <col min="4" max="4" width="9.5" bestFit="1" customWidth="1"/>
    <col min="5" max="5" width="12.6640625" customWidth="1"/>
  </cols>
  <sheetData>
    <row r="1" spans="1:6">
      <c r="A1" s="17" t="s">
        <v>50</v>
      </c>
    </row>
    <row r="2" spans="1:6">
      <c r="A2" t="str">
        <f>'Saturated Water'!B2</f>
        <v>Kevin Dorma Consulting, Ltd.</v>
      </c>
    </row>
    <row r="3" spans="1:6">
      <c r="A3" s="1" t="s">
        <v>63</v>
      </c>
      <c r="B3">
        <f>'Saturated Water'!D3</f>
        <v>1</v>
      </c>
    </row>
    <row r="4" spans="1:6">
      <c r="A4" s="1"/>
    </row>
    <row r="5" spans="1:6">
      <c r="A5" s="17" t="s">
        <v>0</v>
      </c>
      <c r="D5" s="17" t="s">
        <v>51</v>
      </c>
    </row>
    <row r="6" spans="1:6">
      <c r="A6" t="s">
        <v>1</v>
      </c>
      <c r="B6" t="s">
        <v>2</v>
      </c>
      <c r="C6" s="25" t="s">
        <v>31</v>
      </c>
      <c r="D6" s="3">
        <v>273</v>
      </c>
      <c r="E6" s="3">
        <v>1073</v>
      </c>
      <c r="F6" t="s">
        <v>2</v>
      </c>
    </row>
    <row r="7" spans="1:6">
      <c r="A7" t="s">
        <v>3</v>
      </c>
      <c r="B7" t="s">
        <v>4</v>
      </c>
      <c r="C7" s="25" t="s">
        <v>32</v>
      </c>
      <c r="D7" s="3">
        <v>0</v>
      </c>
      <c r="E7" s="3">
        <v>1000</v>
      </c>
      <c r="F7" t="s">
        <v>4</v>
      </c>
    </row>
    <row r="8" spans="1:6">
      <c r="A8" t="s">
        <v>52</v>
      </c>
      <c r="B8" t="s">
        <v>5</v>
      </c>
    </row>
    <row r="10" spans="1:6">
      <c r="A10" s="17" t="s">
        <v>29</v>
      </c>
      <c r="D10" s="17" t="s">
        <v>30</v>
      </c>
    </row>
    <row r="11" spans="1:6">
      <c r="A11" t="s">
        <v>17</v>
      </c>
      <c r="B11">
        <v>647.096</v>
      </c>
      <c r="C11" t="s">
        <v>2</v>
      </c>
      <c r="D11" t="s">
        <v>10</v>
      </c>
      <c r="E11">
        <v>18.015256999999998</v>
      </c>
      <c r="F11" t="s">
        <v>13</v>
      </c>
    </row>
    <row r="12" spans="1:6">
      <c r="B12">
        <f>B11-$E$13</f>
        <v>373.94600000000003</v>
      </c>
      <c r="C12" t="s">
        <v>6</v>
      </c>
      <c r="D12" t="s">
        <v>11</v>
      </c>
      <c r="E12">
        <v>8.3145100000000003</v>
      </c>
      <c r="F12" t="s">
        <v>12</v>
      </c>
    </row>
    <row r="13" spans="1:6">
      <c r="A13" t="s">
        <v>18</v>
      </c>
      <c r="B13">
        <v>220.64</v>
      </c>
      <c r="C13" t="s">
        <v>4</v>
      </c>
      <c r="D13" t="s">
        <v>16</v>
      </c>
      <c r="E13">
        <v>273.14999999999998</v>
      </c>
    </row>
    <row r="14" spans="1:6">
      <c r="A14" t="s">
        <v>19</v>
      </c>
      <c r="B14">
        <v>322</v>
      </c>
      <c r="C14" t="s">
        <v>5</v>
      </c>
    </row>
    <row r="16" spans="1:6">
      <c r="A16" s="31" t="s">
        <v>48</v>
      </c>
      <c r="B16" s="31"/>
      <c r="C16" s="31"/>
    </row>
    <row r="17" spans="1:32">
      <c r="A17" s="32" t="s">
        <v>53</v>
      </c>
      <c r="B17" s="32"/>
      <c r="C17" s="32"/>
    </row>
    <row r="18" spans="1:32" s="33" customFormat="1"/>
    <row r="19" spans="1:32">
      <c r="A19" s="29" t="s">
        <v>20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</row>
    <row r="20" spans="1:32">
      <c r="A20" s="21" t="s">
        <v>9</v>
      </c>
      <c r="B20" s="19" t="s">
        <v>6</v>
      </c>
      <c r="C20" s="19" t="s">
        <v>21</v>
      </c>
      <c r="D20" s="30">
        <v>100</v>
      </c>
      <c r="E20" s="30">
        <f>D20+50</f>
        <v>150</v>
      </c>
      <c r="F20" s="30">
        <f t="shared" ref="F20:R20" si="0">E20+50</f>
        <v>200</v>
      </c>
      <c r="G20" s="30">
        <f t="shared" si="0"/>
        <v>250</v>
      </c>
      <c r="H20" s="30">
        <f t="shared" si="0"/>
        <v>300</v>
      </c>
      <c r="I20" s="30">
        <f t="shared" si="0"/>
        <v>350</v>
      </c>
      <c r="J20" s="30">
        <f t="shared" si="0"/>
        <v>400</v>
      </c>
      <c r="K20" s="30">
        <f t="shared" si="0"/>
        <v>450</v>
      </c>
      <c r="L20" s="30">
        <f t="shared" si="0"/>
        <v>500</v>
      </c>
      <c r="M20" s="30">
        <f t="shared" si="0"/>
        <v>550</v>
      </c>
      <c r="N20" s="30">
        <f t="shared" si="0"/>
        <v>600</v>
      </c>
      <c r="O20" s="30">
        <f t="shared" si="0"/>
        <v>650</v>
      </c>
      <c r="P20" s="30">
        <f t="shared" si="0"/>
        <v>700</v>
      </c>
      <c r="Q20" s="30">
        <f t="shared" si="0"/>
        <v>750</v>
      </c>
      <c r="R20" s="30">
        <f t="shared" si="0"/>
        <v>800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ht="14" thickBot="1">
      <c r="A21" s="22" t="s">
        <v>28</v>
      </c>
      <c r="B21" s="23" t="s">
        <v>2</v>
      </c>
      <c r="C21" s="23"/>
      <c r="D21" s="22">
        <f t="shared" ref="D21:R21" si="1">D20+$E$13</f>
        <v>373.15</v>
      </c>
      <c r="E21" s="22">
        <f t="shared" si="1"/>
        <v>423.15</v>
      </c>
      <c r="F21" s="22">
        <f t="shared" si="1"/>
        <v>473.15</v>
      </c>
      <c r="G21" s="22">
        <f t="shared" si="1"/>
        <v>523.15</v>
      </c>
      <c r="H21" s="22">
        <f t="shared" si="1"/>
        <v>573.15</v>
      </c>
      <c r="I21" s="22">
        <f t="shared" si="1"/>
        <v>623.15</v>
      </c>
      <c r="J21" s="22">
        <f t="shared" si="1"/>
        <v>673.15</v>
      </c>
      <c r="K21" s="22">
        <f t="shared" si="1"/>
        <v>723.15</v>
      </c>
      <c r="L21" s="22">
        <f t="shared" si="1"/>
        <v>773.15</v>
      </c>
      <c r="M21" s="22">
        <f t="shared" si="1"/>
        <v>823.15</v>
      </c>
      <c r="N21" s="22">
        <f t="shared" si="1"/>
        <v>873.15</v>
      </c>
      <c r="O21" s="22">
        <f t="shared" si="1"/>
        <v>923.15</v>
      </c>
      <c r="P21" s="22">
        <f t="shared" si="1"/>
        <v>973.15</v>
      </c>
      <c r="Q21" s="22">
        <f t="shared" si="1"/>
        <v>1023.15</v>
      </c>
      <c r="R21" s="22">
        <f t="shared" si="1"/>
        <v>1073.1500000000001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>
      <c r="A22" s="11"/>
      <c r="B22" s="20"/>
      <c r="C22" s="20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>
      <c r="A23" s="30">
        <v>42</v>
      </c>
      <c r="B23" s="19" t="s">
        <v>22</v>
      </c>
      <c r="C23" s="8">
        <f>denssatvappw(A23)</f>
        <v>21.127105524816038</v>
      </c>
      <c r="D23" s="8">
        <f>densw(D$21,$A23)</f>
        <v>960.26470985578896</v>
      </c>
      <c r="E23" s="8">
        <f t="shared" ref="E23:R23" si="2">densw(E$21,$A23)</f>
        <v>919.10817121313664</v>
      </c>
      <c r="F23" s="8">
        <f t="shared" si="2"/>
        <v>866.67135633804469</v>
      </c>
      <c r="G23" s="8">
        <f t="shared" si="2"/>
        <v>799.15186307301906</v>
      </c>
      <c r="H23" s="8">
        <f t="shared" si="2"/>
        <v>17.965372324826205</v>
      </c>
      <c r="I23" s="8">
        <f t="shared" si="2"/>
        <v>15.866374140857245</v>
      </c>
      <c r="J23" s="8">
        <f t="shared" si="2"/>
        <v>14.342699044854065</v>
      </c>
      <c r="K23" s="8">
        <f t="shared" si="2"/>
        <v>13.146990861017423</v>
      </c>
      <c r="L23" s="8">
        <f t="shared" si="2"/>
        <v>12.166968549216246</v>
      </c>
      <c r="M23" s="8">
        <f t="shared" si="2"/>
        <v>11.341164865953678</v>
      </c>
      <c r="N23" s="8">
        <f t="shared" si="2"/>
        <v>10.631635720630264</v>
      </c>
      <c r="O23" s="8">
        <f t="shared" si="2"/>
        <v>10.01301405522848</v>
      </c>
      <c r="P23" s="8">
        <f t="shared" si="2"/>
        <v>9.4673845250586819</v>
      </c>
      <c r="Q23" s="8">
        <f t="shared" si="2"/>
        <v>8.9815813746674014</v>
      </c>
      <c r="R23" s="8">
        <f t="shared" si="2"/>
        <v>8.5456310666055266</v>
      </c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</row>
    <row r="24" spans="1:32">
      <c r="A24" s="24">
        <f>tsatw(A23)-$E$13</f>
        <v>253.26732969476177</v>
      </c>
      <c r="B24" s="19" t="s">
        <v>14</v>
      </c>
      <c r="C24" s="9">
        <f>$A23*100*$E$11/($E$12*($A24+$E$13)*C23)</f>
        <v>0.81824415762151459</v>
      </c>
      <c r="D24" s="9">
        <f t="shared" ref="D24:R24" si="3">$A23*100*$E$11/($E$12*(D$21)*D23)</f>
        <v>2.5396781223621396E-2</v>
      </c>
      <c r="E24" s="9">
        <f t="shared" si="3"/>
        <v>2.3398721054676833E-2</v>
      </c>
      <c r="F24" s="9">
        <f t="shared" si="3"/>
        <v>2.2192171743783778E-2</v>
      </c>
      <c r="G24" s="9">
        <f t="shared" si="3"/>
        <v>2.1766948338006225E-2</v>
      </c>
      <c r="H24" s="9">
        <f t="shared" si="3"/>
        <v>0.88378896260765283</v>
      </c>
      <c r="I24" s="9">
        <f t="shared" si="3"/>
        <v>0.9204131228308069</v>
      </c>
      <c r="J24" s="9">
        <f t="shared" si="3"/>
        <v>0.94256293269247116</v>
      </c>
      <c r="K24" s="9">
        <f t="shared" si="3"/>
        <v>0.95719041450193687</v>
      </c>
      <c r="L24" s="9">
        <f t="shared" si="3"/>
        <v>0.96740192395831959</v>
      </c>
      <c r="M24" s="9">
        <f t="shared" si="3"/>
        <v>0.97480207753849368</v>
      </c>
      <c r="N24" s="9">
        <f t="shared" si="3"/>
        <v>0.98031161078593332</v>
      </c>
      <c r="O24" s="9">
        <f t="shared" si="3"/>
        <v>0.98450061692188573</v>
      </c>
      <c r="P24" s="9">
        <f t="shared" si="3"/>
        <v>0.98774147206227381</v>
      </c>
      <c r="Q24" s="9">
        <f t="shared" si="3"/>
        <v>0.99028676496939727</v>
      </c>
      <c r="R24" s="9">
        <f t="shared" si="3"/>
        <v>0.99231263924532553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</row>
    <row r="25" spans="1:32">
      <c r="A25" s="19"/>
      <c r="B25" s="19" t="s">
        <v>23</v>
      </c>
      <c r="C25" s="10">
        <f>enthalpysatvappw(A23)</f>
        <v>2799.8518578361113</v>
      </c>
      <c r="D25" s="10">
        <f>enthalpyw(D$21,$A23)</f>
        <v>422.17994781544729</v>
      </c>
      <c r="E25" s="10">
        <f t="shared" ref="E25:R25" si="4">enthalpyw(E$21,$A23)</f>
        <v>634.55769132186231</v>
      </c>
      <c r="F25" s="10">
        <f t="shared" si="4"/>
        <v>853.46975313970916</v>
      </c>
      <c r="G25" s="10">
        <f t="shared" si="4"/>
        <v>1085.6802704910742</v>
      </c>
      <c r="H25" s="10">
        <f t="shared" si="4"/>
        <v>2954.7357537139437</v>
      </c>
      <c r="I25" s="10">
        <f t="shared" si="4"/>
        <v>3088.6197274684287</v>
      </c>
      <c r="J25" s="10">
        <f t="shared" si="4"/>
        <v>3210.8652465749419</v>
      </c>
      <c r="K25" s="10">
        <f t="shared" si="4"/>
        <v>3328.2233108183841</v>
      </c>
      <c r="L25" s="10">
        <f t="shared" si="4"/>
        <v>3443.5780391390213</v>
      </c>
      <c r="M25" s="10">
        <f t="shared" si="4"/>
        <v>3558.3327006469258</v>
      </c>
      <c r="N25" s="10">
        <f t="shared" si="4"/>
        <v>3673.2492281028735</v>
      </c>
      <c r="O25" s="10">
        <f t="shared" si="4"/>
        <v>3788.7818541353854</v>
      </c>
      <c r="P25" s="10">
        <f t="shared" si="4"/>
        <v>3905.221070082036</v>
      </c>
      <c r="Q25" s="10">
        <f t="shared" si="4"/>
        <v>4022.7622671798831</v>
      </c>
      <c r="R25" s="10">
        <f t="shared" si="4"/>
        <v>4141.5435351877304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>
      <c r="A26" s="19"/>
      <c r="B26" s="19" t="s">
        <v>24</v>
      </c>
      <c r="C26" s="8">
        <f>entropysatvappw(A23)</f>
        <v>6.0492266475928611</v>
      </c>
      <c r="D26" s="8">
        <f>entropyw(D$21,$A23)</f>
        <v>1.3038208940053644</v>
      </c>
      <c r="E26" s="8">
        <f t="shared" ref="E26:R26" si="5">entropyw(E$21,$A23)</f>
        <v>1.8378160637174179</v>
      </c>
      <c r="F26" s="8">
        <f t="shared" si="5"/>
        <v>2.3266178385473619</v>
      </c>
      <c r="G26" s="8">
        <f t="shared" si="5"/>
        <v>2.7928391105731434</v>
      </c>
      <c r="H26" s="8">
        <f t="shared" si="5"/>
        <v>6.3317865511808531</v>
      </c>
      <c r="I26" s="8">
        <f t="shared" si="5"/>
        <v>6.5559511636730035</v>
      </c>
      <c r="J26" s="8">
        <f t="shared" si="5"/>
        <v>6.7447229772888351</v>
      </c>
      <c r="K26" s="8">
        <f t="shared" si="5"/>
        <v>6.9129196579182777</v>
      </c>
      <c r="L26" s="8">
        <f t="shared" si="5"/>
        <v>7.0671722018369145</v>
      </c>
      <c r="M26" s="8">
        <f t="shared" si="5"/>
        <v>7.2109960012150092</v>
      </c>
      <c r="N26" s="8">
        <f t="shared" si="5"/>
        <v>7.3465235920060721</v>
      </c>
      <c r="O26" s="8">
        <f t="shared" si="5"/>
        <v>7.4751867820811801</v>
      </c>
      <c r="P26" s="8">
        <f t="shared" si="5"/>
        <v>7.5980172825283052</v>
      </c>
      <c r="Q26" s="8">
        <f t="shared" si="5"/>
        <v>7.7157960359045141</v>
      </c>
      <c r="R26" s="8">
        <f t="shared" si="5"/>
        <v>7.8291372976413225</v>
      </c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</row>
    <row r="27" spans="1:32">
      <c r="A27" s="19"/>
      <c r="B27" s="19" t="s">
        <v>25</v>
      </c>
      <c r="C27" s="9">
        <f>cpsatvappw(A23)</f>
        <v>4.1039037021965514</v>
      </c>
      <c r="D27" s="9">
        <f>cpw(D$21,$A23)</f>
        <v>4.2073050867902637</v>
      </c>
      <c r="E27" s="9">
        <f t="shared" ref="E27:R27" si="6">cpw(E$21,$A23)</f>
        <v>4.2983609330502519</v>
      </c>
      <c r="F27" s="9">
        <f t="shared" si="6"/>
        <v>4.4787549818803383</v>
      </c>
      <c r="G27" s="9">
        <f t="shared" si="6"/>
        <v>4.861908683802465</v>
      </c>
      <c r="H27" s="9">
        <f t="shared" si="6"/>
        <v>2.8833297758849064</v>
      </c>
      <c r="I27" s="9">
        <f t="shared" si="6"/>
        <v>2.5277227631290371</v>
      </c>
      <c r="J27" s="9">
        <f t="shared" si="6"/>
        <v>2.3824678658346659</v>
      </c>
      <c r="K27" s="9">
        <f t="shared" si="6"/>
        <v>2.3208158947058801</v>
      </c>
      <c r="L27" s="9">
        <f t="shared" si="6"/>
        <v>2.2978075057953196</v>
      </c>
      <c r="M27" s="9">
        <f t="shared" si="6"/>
        <v>2.2948199150973729</v>
      </c>
      <c r="N27" s="9">
        <f t="shared" si="6"/>
        <v>2.303311938788243</v>
      </c>
      <c r="O27" s="9">
        <f t="shared" si="6"/>
        <v>2.3189403607553922</v>
      </c>
      <c r="P27" s="9">
        <f t="shared" si="6"/>
        <v>2.3392677454507624</v>
      </c>
      <c r="Q27" s="9">
        <f t="shared" si="6"/>
        <v>2.3628323694384723</v>
      </c>
      <c r="R27" s="9">
        <f t="shared" si="6"/>
        <v>2.388764994071805</v>
      </c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</row>
    <row r="28" spans="1:32">
      <c r="A28" s="19"/>
      <c r="B28" s="19" t="s">
        <v>27</v>
      </c>
      <c r="C28" s="9">
        <f>cvsatvappw(A23)</f>
        <v>2.4939539369760877</v>
      </c>
      <c r="D28" s="9">
        <f>cvw(D$21,$A23)</f>
        <v>3.7617172464053805</v>
      </c>
      <c r="E28" s="9">
        <f t="shared" ref="E28:R28" si="7">cvw(E$21,$A23)</f>
        <v>3.5230235896377127</v>
      </c>
      <c r="F28" s="9">
        <f t="shared" si="7"/>
        <v>3.3149995551259099</v>
      </c>
      <c r="G28" s="9">
        <f t="shared" si="7"/>
        <v>3.1511110126583879</v>
      </c>
      <c r="H28" s="9">
        <f t="shared" si="7"/>
        <v>1.9465114023023202</v>
      </c>
      <c r="I28" s="9">
        <f t="shared" si="7"/>
        <v>1.7941368469397272</v>
      </c>
      <c r="J28" s="9">
        <f t="shared" si="7"/>
        <v>1.7413790186286167</v>
      </c>
      <c r="K28" s="9">
        <f t="shared" si="7"/>
        <v>1.7306241097256259</v>
      </c>
      <c r="L28" s="9">
        <f t="shared" si="7"/>
        <v>1.7392520351039256</v>
      </c>
      <c r="M28" s="9">
        <f t="shared" si="7"/>
        <v>1.757595471529513</v>
      </c>
      <c r="N28" s="9">
        <f t="shared" si="7"/>
        <v>1.7812621098056376</v>
      </c>
      <c r="O28" s="9">
        <f t="shared" si="7"/>
        <v>1.8080801747440625</v>
      </c>
      <c r="P28" s="9">
        <f t="shared" si="7"/>
        <v>1.8368700639054996</v>
      </c>
      <c r="Q28" s="9">
        <f t="shared" si="7"/>
        <v>1.8669582435895515</v>
      </c>
      <c r="R28" s="9">
        <f t="shared" si="7"/>
        <v>1.897998485329663</v>
      </c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</row>
    <row r="29" spans="1:32">
      <c r="A29" s="19"/>
      <c r="B29" s="19" t="s">
        <v>26</v>
      </c>
      <c r="C29" s="15">
        <f>isentropic_coeffsatvaptW(A24+273.15)</f>
        <v>1.2626958939868975</v>
      </c>
      <c r="D29" s="9">
        <f>isentropic_coeffW(D$21,$A23)</f>
        <v>-1</v>
      </c>
      <c r="E29" s="9">
        <f t="shared" ref="E29:R29" si="8">isentropic_coeffW(E$21,$A23)</f>
        <v>-1</v>
      </c>
      <c r="F29" s="9">
        <f t="shared" si="8"/>
        <v>-1</v>
      </c>
      <c r="G29" s="9">
        <f t="shared" si="8"/>
        <v>-1</v>
      </c>
      <c r="H29" s="9">
        <f t="shared" si="8"/>
        <v>1.2847745056512705</v>
      </c>
      <c r="I29" s="9">
        <f t="shared" si="8"/>
        <v>1.2872702802452523</v>
      </c>
      <c r="J29" s="9">
        <f t="shared" si="8"/>
        <v>1.2853882707953983</v>
      </c>
      <c r="K29" s="9">
        <f t="shared" si="8"/>
        <v>1.2816042493318747</v>
      </c>
      <c r="L29" s="9">
        <f t="shared" si="8"/>
        <v>1.2770357612458496</v>
      </c>
      <c r="M29" s="9">
        <f t="shared" si="8"/>
        <v>1.2721898946569761</v>
      </c>
      <c r="N29" s="9">
        <f t="shared" si="8"/>
        <v>1.2673034058376673</v>
      </c>
      <c r="O29" s="9">
        <f t="shared" si="8"/>
        <v>1.2624917301568024</v>
      </c>
      <c r="P29" s="9">
        <f t="shared" si="8"/>
        <v>1.2578110712736519</v>
      </c>
      <c r="Q29" s="9">
        <f t="shared" si="8"/>
        <v>1.2532829769996232</v>
      </c>
      <c r="R29" s="9">
        <f t="shared" si="8"/>
        <v>1.2489029434395149</v>
      </c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</row>
    <row r="30" spans="1:32">
      <c r="A30" s="19"/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1:32">
      <c r="A31" s="30">
        <f>A23+1</f>
        <v>43</v>
      </c>
      <c r="B31" s="19" t="s">
        <v>22</v>
      </c>
      <c r="C31" s="8">
        <f>denssatvappw(A31)</f>
        <v>21.648452577570595</v>
      </c>
      <c r="D31" s="8">
        <f>densw(D$21,$A31)</f>
        <v>960.31105073348897</v>
      </c>
      <c r="E31" s="8">
        <f t="shared" ref="E31:R31" si="9">densw(E$21,$A31)</f>
        <v>919.16416300393155</v>
      </c>
      <c r="F31" s="8">
        <f t="shared" si="9"/>
        <v>866.7464203530343</v>
      </c>
      <c r="G31" s="8">
        <f t="shared" si="9"/>
        <v>799.268543675253</v>
      </c>
      <c r="H31" s="8">
        <f t="shared" si="9"/>
        <v>18.460627525800088</v>
      </c>
      <c r="I31" s="8">
        <f t="shared" si="9"/>
        <v>16.280850358904253</v>
      </c>
      <c r="J31" s="8">
        <f t="shared" si="9"/>
        <v>14.706769536553866</v>
      </c>
      <c r="K31" s="8">
        <f t="shared" si="9"/>
        <v>13.474903936903337</v>
      </c>
      <c r="L31" s="8">
        <f t="shared" si="9"/>
        <v>12.466917626355423</v>
      </c>
      <c r="M31" s="8">
        <f t="shared" si="9"/>
        <v>11.618473263966642</v>
      </c>
      <c r="N31" s="8">
        <f t="shared" si="9"/>
        <v>10.890044971698178</v>
      </c>
      <c r="O31" s="8">
        <f t="shared" si="9"/>
        <v>10.25529791943832</v>
      </c>
      <c r="P31" s="8">
        <f t="shared" si="9"/>
        <v>9.6956795706369263</v>
      </c>
      <c r="Q31" s="8">
        <f t="shared" si="9"/>
        <v>9.197581764526122</v>
      </c>
      <c r="R31" s="8">
        <f t="shared" si="9"/>
        <v>8.750711232361482</v>
      </c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</row>
    <row r="32" spans="1:32">
      <c r="A32" s="24">
        <f>tsatw(A31)-$E$13</f>
        <v>254.68263327371938</v>
      </c>
      <c r="B32" s="19" t="s">
        <v>14</v>
      </c>
      <c r="C32" s="9">
        <f>$A31*100*$E$11/($E$12*($A32+$E$13)*C31)</f>
        <v>0.81535954947062916</v>
      </c>
      <c r="D32" s="9">
        <f t="shared" ref="D32:R32" si="10">$A31*100*$E$11/($E$12*(D$21)*D31)</f>
        <v>2.6000211761169133E-2</v>
      </c>
      <c r="E32" s="9">
        <f t="shared" si="10"/>
        <v>2.3954374167537634E-2</v>
      </c>
      <c r="F32" s="9">
        <f t="shared" si="10"/>
        <v>2.2718589086128775E-2</v>
      </c>
      <c r="G32" s="9">
        <f t="shared" si="10"/>
        <v>2.2281955723661446E-2</v>
      </c>
      <c r="H32" s="9">
        <f t="shared" si="10"/>
        <v>0.88055705523761152</v>
      </c>
      <c r="I32" s="9">
        <f t="shared" si="10"/>
        <v>0.91833803855375551</v>
      </c>
      <c r="J32" s="9">
        <f t="shared" si="10"/>
        <v>0.94111592131286692</v>
      </c>
      <c r="K32" s="9">
        <f t="shared" si="10"/>
        <v>0.95613273933132448</v>
      </c>
      <c r="L32" s="9">
        <f t="shared" si="10"/>
        <v>0.96660582383075178</v>
      </c>
      <c r="M32" s="9">
        <f t="shared" si="10"/>
        <v>0.97419122227691457</v>
      </c>
      <c r="N32" s="9">
        <f t="shared" si="10"/>
        <v>0.97983675419169491</v>
      </c>
      <c r="O32" s="9">
        <f t="shared" si="10"/>
        <v>0.98412825824630212</v>
      </c>
      <c r="P32" s="9">
        <f t="shared" si="10"/>
        <v>0.9874479588637125</v>
      </c>
      <c r="Q32" s="9">
        <f t="shared" si="10"/>
        <v>0.99005493233667885</v>
      </c>
      <c r="R32" s="9">
        <f t="shared" si="10"/>
        <v>0.99212975564851491</v>
      </c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</row>
    <row r="33" spans="1:32">
      <c r="A33" s="19"/>
      <c r="B33" s="19" t="s">
        <v>23</v>
      </c>
      <c r="C33" s="10">
        <f>enthalpysatvappw(A31)</f>
        <v>2799.270349360223</v>
      </c>
      <c r="D33" s="10">
        <f>enthalpyw(D$21,$A31)</f>
        <v>422.25517847539498</v>
      </c>
      <c r="E33" s="10">
        <f t="shared" ref="E33:R33" si="11">enthalpyw(E$21,$A31)</f>
        <v>634.61986147355651</v>
      </c>
      <c r="F33" s="10">
        <f t="shared" si="11"/>
        <v>853.51096233529813</v>
      </c>
      <c r="G33" s="10">
        <f t="shared" si="11"/>
        <v>1085.6775531858264</v>
      </c>
      <c r="H33" s="10">
        <f t="shared" si="11"/>
        <v>2951.2269865521362</v>
      </c>
      <c r="I33" s="10">
        <f t="shared" si="11"/>
        <v>3086.2509914058755</v>
      </c>
      <c r="J33" s="10">
        <f t="shared" si="11"/>
        <v>3209.1022440091633</v>
      </c>
      <c r="K33" s="10">
        <f t="shared" si="11"/>
        <v>3326.8349190585423</v>
      </c>
      <c r="L33" s="10">
        <f t="shared" si="11"/>
        <v>3442.4459633398947</v>
      </c>
      <c r="M33" s="10">
        <f t="shared" si="11"/>
        <v>3557.388480771795</v>
      </c>
      <c r="N33" s="10">
        <f t="shared" si="11"/>
        <v>3672.4490077491882</v>
      </c>
      <c r="O33" s="10">
        <f t="shared" si="11"/>
        <v>3788.09528835439</v>
      </c>
      <c r="P33" s="10">
        <f t="shared" si="11"/>
        <v>3904.6260094230861</v>
      </c>
      <c r="Q33" s="10">
        <f t="shared" si="11"/>
        <v>4022.2419617516725</v>
      </c>
      <c r="R33" s="10">
        <f t="shared" si="11"/>
        <v>4141.0850184496148</v>
      </c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>
      <c r="A34" s="19"/>
      <c r="B34" s="19" t="s">
        <v>24</v>
      </c>
      <c r="C34" s="8">
        <f>entropysatvappw(A31)</f>
        <v>6.0392530369961444</v>
      </c>
      <c r="D34" s="8">
        <f>entropyw(D$21,$A31)</f>
        <v>1.3037434324510915</v>
      </c>
      <c r="E34" s="8">
        <f t="shared" ref="E34:R34" si="12">entropyw(E$21,$A31)</f>
        <v>1.8377058719276067</v>
      </c>
      <c r="F34" s="8">
        <f t="shared" si="12"/>
        <v>2.326461081074326</v>
      </c>
      <c r="G34" s="8">
        <f t="shared" si="12"/>
        <v>2.7925947431234173</v>
      </c>
      <c r="H34" s="8">
        <f t="shared" si="12"/>
        <v>6.3160842143388196</v>
      </c>
      <c r="I34" s="8">
        <f t="shared" si="12"/>
        <v>6.5421655205652147</v>
      </c>
      <c r="J34" s="8">
        <f t="shared" si="12"/>
        <v>6.7318755921788833</v>
      </c>
      <c r="K34" s="8">
        <f t="shared" si="12"/>
        <v>6.9006104269710464</v>
      </c>
      <c r="L34" s="8">
        <f t="shared" si="12"/>
        <v>7.0552063446144464</v>
      </c>
      <c r="M34" s="8">
        <f t="shared" si="12"/>
        <v>7.1992659343383387</v>
      </c>
      <c r="N34" s="8">
        <f t="shared" si="12"/>
        <v>7.3349635625320557</v>
      </c>
      <c r="O34" s="8">
        <f t="shared" si="12"/>
        <v>7.4637534605251927</v>
      </c>
      <c r="P34" s="8">
        <f t="shared" si="12"/>
        <v>7.5866805809621445</v>
      </c>
      <c r="Q34" s="8">
        <f t="shared" si="12"/>
        <v>7.7045343050258595</v>
      </c>
      <c r="R34" s="8">
        <f t="shared" si="12"/>
        <v>7.8179345715786104</v>
      </c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</row>
    <row r="35" spans="1:32">
      <c r="A35" s="19"/>
      <c r="B35" s="19" t="s">
        <v>25</v>
      </c>
      <c r="C35" s="9">
        <f>cpsatvappw(A31)</f>
        <v>4.1451242364629577</v>
      </c>
      <c r="D35" s="9">
        <f>cpw(D$21,$A31)</f>
        <v>4.207080107705794</v>
      </c>
      <c r="E35" s="9">
        <f t="shared" ref="E35:R35" si="13">cpw(E$21,$A31)</f>
        <v>4.2980464802300791</v>
      </c>
      <c r="F35" s="9">
        <f t="shared" si="13"/>
        <v>4.4781895212629603</v>
      </c>
      <c r="G35" s="9">
        <f t="shared" si="13"/>
        <v>4.8605448513039171</v>
      </c>
      <c r="H35" s="9">
        <f t="shared" si="13"/>
        <v>2.9161905303902178</v>
      </c>
      <c r="I35" s="9">
        <f t="shared" si="13"/>
        <v>2.543570798865082</v>
      </c>
      <c r="J35" s="9">
        <f t="shared" si="13"/>
        <v>2.3917205636604977</v>
      </c>
      <c r="K35" s="9">
        <f t="shared" si="13"/>
        <v>2.3268924407788978</v>
      </c>
      <c r="L35" s="9">
        <f t="shared" si="13"/>
        <v>2.3021390394970935</v>
      </c>
      <c r="M35" s="9">
        <f t="shared" si="13"/>
        <v>2.2980804875250023</v>
      </c>
      <c r="N35" s="9">
        <f t="shared" si="13"/>
        <v>2.3058546639570818</v>
      </c>
      <c r="O35" s="9">
        <f t="shared" si="13"/>
        <v>2.3209703751332014</v>
      </c>
      <c r="P35" s="9">
        <f t="shared" si="13"/>
        <v>2.3409155726981226</v>
      </c>
      <c r="Q35" s="9">
        <f t="shared" si="13"/>
        <v>2.3641871762308</v>
      </c>
      <c r="R35" s="9">
        <f t="shared" si="13"/>
        <v>2.3898908491807136</v>
      </c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</row>
    <row r="36" spans="1:32">
      <c r="A36" s="19"/>
      <c r="B36" s="19" t="s">
        <v>27</v>
      </c>
      <c r="C36" s="9">
        <f>cvsatvappw(A31)</f>
        <v>2.506496820724081</v>
      </c>
      <c r="D36" s="9">
        <f>cvw(D$21,$A31)</f>
        <v>3.7615719272229011</v>
      </c>
      <c r="E36" s="9">
        <f t="shared" ref="E36:R36" si="14">cvw(E$21,$A31)</f>
        <v>3.5229323431429909</v>
      </c>
      <c r="F36" s="9">
        <f t="shared" si="14"/>
        <v>3.3149251333440151</v>
      </c>
      <c r="G36" s="9">
        <f t="shared" si="14"/>
        <v>3.1510252652186623</v>
      </c>
      <c r="H36" s="9">
        <f t="shared" si="14"/>
        <v>1.9600430086737124</v>
      </c>
      <c r="I36" s="9">
        <f t="shared" si="14"/>
        <v>1.8008686367885214</v>
      </c>
      <c r="J36" s="9">
        <f t="shared" si="14"/>
        <v>1.745256465450318</v>
      </c>
      <c r="K36" s="9">
        <f t="shared" si="14"/>
        <v>1.733114227415379</v>
      </c>
      <c r="L36" s="9">
        <f t="shared" si="14"/>
        <v>1.7409978461525155</v>
      </c>
      <c r="M36" s="9">
        <f t="shared" si="14"/>
        <v>1.7588956441685988</v>
      </c>
      <c r="N36" s="9">
        <f t="shared" si="14"/>
        <v>1.782266428462751</v>
      </c>
      <c r="O36" s="9">
        <f t="shared" si="14"/>
        <v>1.8088718944521616</v>
      </c>
      <c r="P36" s="9">
        <f t="shared" si="14"/>
        <v>1.8375009614895716</v>
      </c>
      <c r="Q36" s="9">
        <f t="shared" si="14"/>
        <v>1.8674638581340417</v>
      </c>
      <c r="R36" s="9">
        <f t="shared" si="14"/>
        <v>1.8984050140738831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</row>
    <row r="37" spans="1:32">
      <c r="A37" s="19"/>
      <c r="B37" s="19" t="s">
        <v>26</v>
      </c>
      <c r="C37" s="15">
        <f>isentropic_coeffsatvaptW(A32+273.15)</f>
        <v>1.2621236207229316</v>
      </c>
      <c r="D37" s="9">
        <f>isentropic_coeffW(D$21,$A31)</f>
        <v>-1</v>
      </c>
      <c r="E37" s="9">
        <f t="shared" ref="E37:R37" si="15">isentropic_coeffW(E$21,$A31)</f>
        <v>-1</v>
      </c>
      <c r="F37" s="9">
        <f t="shared" si="15"/>
        <v>-1</v>
      </c>
      <c r="G37" s="9">
        <f t="shared" si="15"/>
        <v>-1</v>
      </c>
      <c r="H37" s="9">
        <f t="shared" si="15"/>
        <v>1.2842819261401606</v>
      </c>
      <c r="I37" s="9">
        <f t="shared" si="15"/>
        <v>1.2870677025206647</v>
      </c>
      <c r="J37" s="9">
        <f t="shared" si="15"/>
        <v>1.2853135698524347</v>
      </c>
      <c r="K37" s="9">
        <f t="shared" si="15"/>
        <v>1.2815911580495714</v>
      </c>
      <c r="L37" s="9">
        <f t="shared" si="15"/>
        <v>1.2770556762736314</v>
      </c>
      <c r="M37" s="9">
        <f t="shared" si="15"/>
        <v>1.2722302884536627</v>
      </c>
      <c r="N37" s="9">
        <f t="shared" si="15"/>
        <v>1.267358474117958</v>
      </c>
      <c r="O37" s="9">
        <f t="shared" si="15"/>
        <v>1.2625584372103538</v>
      </c>
      <c r="P37" s="9">
        <f t="shared" si="15"/>
        <v>1.2578874916667733</v>
      </c>
      <c r="Q37" s="9">
        <f t="shared" si="15"/>
        <v>1.2533676073218691</v>
      </c>
      <c r="R37" s="9">
        <f t="shared" si="15"/>
        <v>1.2489944253013097</v>
      </c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</row>
    <row r="38" spans="1:32">
      <c r="A38" s="19"/>
      <c r="B38" s="19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1:32">
      <c r="A39" s="30">
        <f>A31+1</f>
        <v>44</v>
      </c>
      <c r="B39" s="19" t="s">
        <v>22</v>
      </c>
      <c r="C39" s="8">
        <f>denssatvappw(A39)</f>
        <v>22.171628126423062</v>
      </c>
      <c r="D39" s="8">
        <f>densw(D$21,$A39)</f>
        <v>960.35737882395176</v>
      </c>
      <c r="E39" s="8">
        <f t="shared" ref="E39:R39" si="16">densw(E$21,$A39)</f>
        <v>919.22013196689045</v>
      </c>
      <c r="F39" s="8">
        <f t="shared" si="16"/>
        <v>866.82143527075914</v>
      </c>
      <c r="G39" s="8">
        <f t="shared" si="16"/>
        <v>799.38508490688696</v>
      </c>
      <c r="H39" s="8">
        <f t="shared" si="16"/>
        <v>18.960120459005591</v>
      </c>
      <c r="I39" s="8">
        <f t="shared" si="16"/>
        <v>16.697379882813149</v>
      </c>
      <c r="J39" s="8">
        <f t="shared" si="16"/>
        <v>15.072027297118002</v>
      </c>
      <c r="K39" s="8">
        <f t="shared" si="16"/>
        <v>13.803571170339534</v>
      </c>
      <c r="L39" s="8">
        <f t="shared" si="16"/>
        <v>12.767374021774001</v>
      </c>
      <c r="M39" s="8">
        <f t="shared" si="16"/>
        <v>11.896135908149743</v>
      </c>
      <c r="N39" s="8">
        <f t="shared" si="16"/>
        <v>11.148707941690136</v>
      </c>
      <c r="O39" s="8">
        <f t="shared" si="16"/>
        <v>10.497766726493424</v>
      </c>
      <c r="P39" s="8">
        <f t="shared" si="16"/>
        <v>9.9241110370694461</v>
      </c>
      <c r="Q39" s="8">
        <f t="shared" si="16"/>
        <v>9.4136835063811777</v>
      </c>
      <c r="R39" s="8">
        <f t="shared" si="16"/>
        <v>8.9558669047513639</v>
      </c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</row>
    <row r="40" spans="1:32">
      <c r="A40" s="24">
        <f>tsatw(A39)-$E$13</f>
        <v>256.07298098937383</v>
      </c>
      <c r="B40" s="19" t="s">
        <v>14</v>
      </c>
      <c r="C40" s="9">
        <f>$A39*100*$E$11/($E$12*($A40+$E$13)*C39)</f>
        <v>0.81249406633796906</v>
      </c>
      <c r="D40" s="9">
        <f t="shared" ref="D40:R40" si="17">$A39*100*$E$11/($E$12*(D$21)*D39)</f>
        <v>2.6603584417332699E-2</v>
      </c>
      <c r="E40" s="9">
        <f t="shared" si="17"/>
        <v>2.4509960196886369E-2</v>
      </c>
      <c r="F40" s="9">
        <f t="shared" si="17"/>
        <v>2.3244916572905894E-2</v>
      </c>
      <c r="G40" s="9">
        <f t="shared" si="17"/>
        <v>2.2796816739913975E-2</v>
      </c>
      <c r="H40" s="9">
        <f t="shared" si="17"/>
        <v>0.87729789956027782</v>
      </c>
      <c r="I40" s="9">
        <f t="shared" si="17"/>
        <v>0.91625329875412453</v>
      </c>
      <c r="J40" s="9">
        <f t="shared" si="17"/>
        <v>0.93966479559951099</v>
      </c>
      <c r="K40" s="9">
        <f t="shared" si="17"/>
        <v>0.95507313523714366</v>
      </c>
      <c r="L40" s="9">
        <f t="shared" si="17"/>
        <v>0.96580875295304469</v>
      </c>
      <c r="M40" s="9">
        <f t="shared" si="17"/>
        <v>0.97357985453562212</v>
      </c>
      <c r="N40" s="9">
        <f t="shared" si="17"/>
        <v>0.97936162241102587</v>
      </c>
      <c r="O40" s="9">
        <f t="shared" si="17"/>
        <v>0.98375575614806821</v>
      </c>
      <c r="P40" s="9">
        <f t="shared" si="17"/>
        <v>0.98715437984215837</v>
      </c>
      <c r="Q40" s="9">
        <f t="shared" si="17"/>
        <v>0.98982308178652423</v>
      </c>
      <c r="R40" s="9">
        <f t="shared" si="17"/>
        <v>0.99194688467218628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</row>
    <row r="41" spans="1:32">
      <c r="A41" s="19"/>
      <c r="B41" s="19" t="s">
        <v>23</v>
      </c>
      <c r="C41" s="10">
        <f>enthalpysatvappw(A39)</f>
        <v>2798.6516218918609</v>
      </c>
      <c r="D41" s="10">
        <f>enthalpyw(D$21,$A39)</f>
        <v>422.33041207552878</v>
      </c>
      <c r="E41" s="10">
        <f t="shared" ref="E41:R41" si="18">enthalpyw(E$21,$A39)</f>
        <v>634.68204405205893</v>
      </c>
      <c r="F41" s="10">
        <f t="shared" si="18"/>
        <v>853.55220785635834</v>
      </c>
      <c r="G41" s="10">
        <f t="shared" si="18"/>
        <v>1085.6749603190251</v>
      </c>
      <c r="H41" s="10">
        <f t="shared" si="18"/>
        <v>2947.6833411018156</v>
      </c>
      <c r="I41" s="10">
        <f t="shared" si="18"/>
        <v>3083.8690979757312</v>
      </c>
      <c r="J41" s="10">
        <f t="shared" si="18"/>
        <v>3207.3332706310657</v>
      </c>
      <c r="K41" s="10">
        <f t="shared" si="18"/>
        <v>3325.4435545317442</v>
      </c>
      <c r="L41" s="10">
        <f t="shared" si="18"/>
        <v>3441.3122829900544</v>
      </c>
      <c r="M41" s="10">
        <f t="shared" si="18"/>
        <v>3556.4433263716401</v>
      </c>
      <c r="N41" s="10">
        <f t="shared" si="18"/>
        <v>3671.6482041881204</v>
      </c>
      <c r="O41" s="10">
        <f t="shared" si="18"/>
        <v>3787.4083359749143</v>
      </c>
      <c r="P41" s="10">
        <f t="shared" si="18"/>
        <v>3904.0306792748916</v>
      </c>
      <c r="Q41" s="10">
        <f t="shared" si="18"/>
        <v>4021.721461474684</v>
      </c>
      <c r="R41" s="10">
        <f t="shared" si="18"/>
        <v>4140.6263587920785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>
      <c r="A42" s="19"/>
      <c r="B42" s="19" t="s">
        <v>24</v>
      </c>
      <c r="C42" s="8">
        <f>entropysatvappw(A39)</f>
        <v>6.0294463763483943</v>
      </c>
      <c r="D42" s="8">
        <f>entropyw(D$21,$A39)</f>
        <v>1.3036659922408973</v>
      </c>
      <c r="E42" s="8">
        <f t="shared" ref="E42:R42" si="19">entropyw(E$21,$A39)</f>
        <v>1.8375957251638639</v>
      </c>
      <c r="F42" s="8">
        <f t="shared" si="19"/>
        <v>2.3263044214858795</v>
      </c>
      <c r="G42" s="8">
        <f t="shared" si="19"/>
        <v>2.7923506484296188</v>
      </c>
      <c r="H42" s="8">
        <f t="shared" si="19"/>
        <v>6.3005757198072114</v>
      </c>
      <c r="I42" s="8">
        <f t="shared" si="19"/>
        <v>6.5286103795058228</v>
      </c>
      <c r="J42" s="8">
        <f t="shared" si="19"/>
        <v>6.7192698681616116</v>
      </c>
      <c r="K42" s="8">
        <f t="shared" si="19"/>
        <v>6.8885471740369733</v>
      </c>
      <c r="L42" s="8">
        <f t="shared" si="19"/>
        <v>7.04348830243344</v>
      </c>
      <c r="M42" s="8">
        <f t="shared" si="19"/>
        <v>7.1877845252028667</v>
      </c>
      <c r="N42" s="8">
        <f t="shared" si="19"/>
        <v>7.3236526063723435</v>
      </c>
      <c r="O42" s="8">
        <f t="shared" si="19"/>
        <v>7.4525694317985822</v>
      </c>
      <c r="P42" s="8">
        <f t="shared" si="19"/>
        <v>7.5755932960299486</v>
      </c>
      <c r="Q42" s="8">
        <f t="shared" si="19"/>
        <v>7.6935220657034034</v>
      </c>
      <c r="R42" s="8">
        <f t="shared" si="19"/>
        <v>7.8069813866859192</v>
      </c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1:32">
      <c r="A43" s="19"/>
      <c r="B43" s="19" t="s">
        <v>25</v>
      </c>
      <c r="C43" s="9">
        <f>cpsatvappw(A39)</f>
        <v>4.1864612344409062</v>
      </c>
      <c r="D43" s="9">
        <f>cpw(D$21,$A39)</f>
        <v>4.2068552649690858</v>
      </c>
      <c r="E43" s="9">
        <f t="shared" ref="E43:R43" si="20">cpw(E$21,$A39)</f>
        <v>4.2977323014247313</v>
      </c>
      <c r="F43" s="9">
        <f t="shared" si="20"/>
        <v>4.477624859796145</v>
      </c>
      <c r="G43" s="9">
        <f t="shared" si="20"/>
        <v>4.8591846035652937</v>
      </c>
      <c r="H43" s="9">
        <f t="shared" si="20"/>
        <v>2.9498739692111542</v>
      </c>
      <c r="I43" s="9">
        <f t="shared" si="20"/>
        <v>2.5596427354116598</v>
      </c>
      <c r="J43" s="9">
        <f t="shared" si="20"/>
        <v>2.4010615935347914</v>
      </c>
      <c r="K43" s="9">
        <f t="shared" si="20"/>
        <v>2.3330080089472007</v>
      </c>
      <c r="L43" s="9">
        <f t="shared" si="20"/>
        <v>2.3064891108554533</v>
      </c>
      <c r="M43" s="9">
        <f t="shared" si="20"/>
        <v>2.3013504923669954</v>
      </c>
      <c r="N43" s="9">
        <f t="shared" si="20"/>
        <v>2.3084025189376511</v>
      </c>
      <c r="O43" s="9">
        <f t="shared" si="20"/>
        <v>2.3230033597509734</v>
      </c>
      <c r="P43" s="9">
        <f t="shared" si="20"/>
        <v>2.3425652312705183</v>
      </c>
      <c r="Q43" s="9">
        <f t="shared" si="20"/>
        <v>2.3655432004976116</v>
      </c>
      <c r="R43" s="9">
        <f t="shared" si="20"/>
        <v>2.3910176007712924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</row>
    <row r="44" spans="1:32">
      <c r="A44" s="19"/>
      <c r="B44" s="19" t="s">
        <v>27</v>
      </c>
      <c r="C44" s="9">
        <f>cvsatvappw(A39)</f>
        <v>2.5188874744399996</v>
      </c>
      <c r="D44" s="9">
        <f>cvw(D$21,$A39)</f>
        <v>3.761426639119656</v>
      </c>
      <c r="E44" s="9">
        <f t="shared" ref="E44:R44" si="21">cvw(E$21,$A39)</f>
        <v>3.5228411261324926</v>
      </c>
      <c r="F44" s="9">
        <f t="shared" si="21"/>
        <v>3.3148508069537823</v>
      </c>
      <c r="G44" s="9">
        <f t="shared" si="21"/>
        <v>3.1509396550479503</v>
      </c>
      <c r="H44" s="9">
        <f t="shared" si="21"/>
        <v>1.9737974174754367</v>
      </c>
      <c r="I44" s="9">
        <f t="shared" si="21"/>
        <v>1.8076637144251626</v>
      </c>
      <c r="J44" s="9">
        <f t="shared" si="21"/>
        <v>1.7491601458717936</v>
      </c>
      <c r="K44" s="9">
        <f t="shared" si="21"/>
        <v>1.7356151567528675</v>
      </c>
      <c r="L44" s="9">
        <f t="shared" si="21"/>
        <v>1.7427478479315108</v>
      </c>
      <c r="M44" s="9">
        <f t="shared" si="21"/>
        <v>1.7601972508356638</v>
      </c>
      <c r="N44" s="9">
        <f t="shared" si="21"/>
        <v>1.7832710675971648</v>
      </c>
      <c r="O44" s="9">
        <f t="shared" si="21"/>
        <v>1.8096635078168861</v>
      </c>
      <c r="P44" s="9">
        <f t="shared" si="21"/>
        <v>1.8381316193113395</v>
      </c>
      <c r="Q44" s="9">
        <f t="shared" si="21"/>
        <v>1.867969236957352</v>
      </c>
      <c r="R44" s="9">
        <f t="shared" si="21"/>
        <v>1.8988113881452746</v>
      </c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</row>
    <row r="45" spans="1:32">
      <c r="A45" s="19"/>
      <c r="B45" s="19" t="s">
        <v>26</v>
      </c>
      <c r="C45" s="15">
        <f>isentropic_coeffsatvaptW(A40+273.15)</f>
        <v>1.2615606277961064</v>
      </c>
      <c r="D45" s="9">
        <f>isentropic_coeffW(D$21,$A39)</f>
        <v>-1</v>
      </c>
      <c r="E45" s="9">
        <f t="shared" ref="E45:R45" si="22">isentropic_coeffW(E$21,$A39)</f>
        <v>-1</v>
      </c>
      <c r="F45" s="9">
        <f t="shared" si="22"/>
        <v>-1</v>
      </c>
      <c r="G45" s="9">
        <f t="shared" si="22"/>
        <v>-1</v>
      </c>
      <c r="H45" s="9">
        <f t="shared" si="22"/>
        <v>1.28378145727518</v>
      </c>
      <c r="I45" s="9">
        <f t="shared" si="22"/>
        <v>1.286863425009511</v>
      </c>
      <c r="J45" s="9">
        <f t="shared" si="22"/>
        <v>1.2852386157860864</v>
      </c>
      <c r="K45" s="9">
        <f t="shared" si="22"/>
        <v>1.2815783287914229</v>
      </c>
      <c r="L45" s="9">
        <f t="shared" si="22"/>
        <v>1.2770760286261544</v>
      </c>
      <c r="M45" s="9">
        <f t="shared" si="22"/>
        <v>1.2722711670638664</v>
      </c>
      <c r="N45" s="9">
        <f t="shared" si="22"/>
        <v>1.267414026955159</v>
      </c>
      <c r="O45" s="9">
        <f t="shared" si="22"/>
        <v>1.2626256102571687</v>
      </c>
      <c r="P45" s="9">
        <f t="shared" si="22"/>
        <v>1.2579643511840626</v>
      </c>
      <c r="Q45" s="9">
        <f t="shared" si="22"/>
        <v>1.253452644018338</v>
      </c>
      <c r="R45" s="9">
        <f t="shared" si="22"/>
        <v>1.2490862743302895</v>
      </c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</row>
    <row r="46" spans="1:32">
      <c r="A46" s="19"/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1:32">
      <c r="A47" s="30">
        <f>A39+1</f>
        <v>45</v>
      </c>
      <c r="B47" s="19" t="s">
        <v>22</v>
      </c>
      <c r="C47" s="8">
        <f>denssatvappw(A47)</f>
        <v>22.696665722427003</v>
      </c>
      <c r="D47" s="8">
        <f>densw(D$21,$A47)</f>
        <v>960.4036941360298</v>
      </c>
      <c r="E47" s="8">
        <f t="shared" ref="E47:R47" si="23">densw(E$21,$A47)</f>
        <v>919.27607812887084</v>
      </c>
      <c r="F47" s="8">
        <f t="shared" si="23"/>
        <v>866.89640117982799</v>
      </c>
      <c r="G47" s="8">
        <f t="shared" si="23"/>
        <v>799.50148718482637</v>
      </c>
      <c r="H47" s="8">
        <f t="shared" si="23"/>
        <v>19.463957722206565</v>
      </c>
      <c r="I47" s="8">
        <f t="shared" si="23"/>
        <v>17.115991682836203</v>
      </c>
      <c r="J47" s="8">
        <f t="shared" si="23"/>
        <v>15.438483081271595</v>
      </c>
      <c r="K47" s="8">
        <f t="shared" si="23"/>
        <v>14.132997196554308</v>
      </c>
      <c r="L47" s="8">
        <f t="shared" si="23"/>
        <v>13.068339931806676</v>
      </c>
      <c r="M47" s="8">
        <f t="shared" si="23"/>
        <v>12.174153906628405</v>
      </c>
      <c r="N47" s="8">
        <f t="shared" si="23"/>
        <v>11.407625210781399</v>
      </c>
      <c r="O47" s="8">
        <f t="shared" si="23"/>
        <v>10.740420783836489</v>
      </c>
      <c r="P47" s="8">
        <f t="shared" si="23"/>
        <v>10.152679084238388</v>
      </c>
      <c r="Q47" s="8">
        <f t="shared" si="23"/>
        <v>9.6298866776137437</v>
      </c>
      <c r="R47" s="8">
        <f t="shared" si="23"/>
        <v>9.1610981140821597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</row>
    <row r="48" spans="1:32">
      <c r="A48" s="24">
        <f>tsatw(A47)-$E$13</f>
        <v>257.43937131084692</v>
      </c>
      <c r="B48" s="19" t="s">
        <v>14</v>
      </c>
      <c r="C48" s="9">
        <f>$A47*100*$E$11/($E$12*($A48+$E$13)*C47)</f>
        <v>0.80964699512870819</v>
      </c>
      <c r="D48" s="9">
        <f t="shared" ref="D48:R48" si="24">$A47*100*$E$11/($E$12*(D$21)*D47)</f>
        <v>2.7206899224338273E-2</v>
      </c>
      <c r="E48" s="9">
        <f t="shared" si="24"/>
        <v>2.506547919563322E-2</v>
      </c>
      <c r="F48" s="9">
        <f t="shared" si="24"/>
        <v>2.3771154314438478E-2</v>
      </c>
      <c r="G48" s="9">
        <f t="shared" si="24"/>
        <v>2.3311531707870117E-2</v>
      </c>
      <c r="H48" s="9">
        <f t="shared" si="24"/>
        <v>0.87401093544429598</v>
      </c>
      <c r="I48" s="9">
        <f t="shared" si="24"/>
        <v>0.91415881134504762</v>
      </c>
      <c r="J48" s="9">
        <f t="shared" si="24"/>
        <v>0.93820952878942809</v>
      </c>
      <c r="K48" s="9">
        <f t="shared" si="24"/>
        <v>0.95401159352949216</v>
      </c>
      <c r="L48" s="9">
        <f t="shared" si="24"/>
        <v>0.96501070892425322</v>
      </c>
      <c r="M48" s="9">
        <f t="shared" si="24"/>
        <v>0.97296797418671477</v>
      </c>
      <c r="N48" s="9">
        <f t="shared" si="24"/>
        <v>0.97888621608085302</v>
      </c>
      <c r="O48" s="9">
        <f t="shared" si="24"/>
        <v>0.98338311143417223</v>
      </c>
      <c r="P48" s="9">
        <f t="shared" si="24"/>
        <v>0.9868607357341278</v>
      </c>
      <c r="Q48" s="9">
        <f t="shared" si="24"/>
        <v>0.98959121389378779</v>
      </c>
      <c r="R48" s="9">
        <f t="shared" si="24"/>
        <v>0.99176402670920094</v>
      </c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</row>
    <row r="49" spans="1:32">
      <c r="A49" s="19"/>
      <c r="B49" s="19" t="s">
        <v>23</v>
      </c>
      <c r="C49" s="10">
        <f>enthalpysatvappw(A47)</f>
        <v>2797.9970220803752</v>
      </c>
      <c r="D49" s="10">
        <f>enthalpyw(D$21,$A47)</f>
        <v>422.40564861046181</v>
      </c>
      <c r="E49" s="10">
        <f t="shared" ref="E49:R49" si="25">enthalpyw(E$21,$A47)</f>
        <v>634.74423903903778</v>
      </c>
      <c r="F49" s="10">
        <f t="shared" si="25"/>
        <v>853.59348963376999</v>
      </c>
      <c r="G49" s="10">
        <f t="shared" si="25"/>
        <v>1085.6724915035047</v>
      </c>
      <c r="H49" s="10">
        <f t="shared" si="25"/>
        <v>2944.1040648537387</v>
      </c>
      <c r="I49" s="10">
        <f t="shared" si="25"/>
        <v>3081.4739202792671</v>
      </c>
      <c r="J49" s="10">
        <f t="shared" si="25"/>
        <v>3205.5582840638131</v>
      </c>
      <c r="K49" s="10">
        <f t="shared" si="25"/>
        <v>3324.0491999267374</v>
      </c>
      <c r="L49" s="10">
        <f t="shared" si="25"/>
        <v>3440.176990732894</v>
      </c>
      <c r="M49" s="10">
        <f t="shared" si="25"/>
        <v>3555.4972343909189</v>
      </c>
      <c r="N49" s="10">
        <f t="shared" si="25"/>
        <v>3670.8468163267194</v>
      </c>
      <c r="O49" s="10">
        <f t="shared" si="25"/>
        <v>3786.7209968567754</v>
      </c>
      <c r="P49" s="10">
        <f t="shared" si="25"/>
        <v>3903.4350799795652</v>
      </c>
      <c r="Q49" s="10">
        <f t="shared" si="25"/>
        <v>4021.2007669198906</v>
      </c>
      <c r="R49" s="10">
        <f t="shared" si="25"/>
        <v>4140.1675568516539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>
      <c r="A50" s="19"/>
      <c r="B50" s="19" t="s">
        <v>24</v>
      </c>
      <c r="C50" s="8">
        <f>entropysatvappw(A47)</f>
        <v>6.0197987744283941</v>
      </c>
      <c r="D50" s="8">
        <f>entropyw(D$21,$A47)</f>
        <v>1.3035885733553323</v>
      </c>
      <c r="E50" s="8">
        <f t="shared" ref="E50:R50" si="26">entropyw(E$21,$A47)</f>
        <v>1.8374856233745804</v>
      </c>
      <c r="F50" s="8">
        <f t="shared" si="26"/>
        <v>2.3261478596184872</v>
      </c>
      <c r="G50" s="8">
        <f t="shared" si="26"/>
        <v>2.7921068256998796</v>
      </c>
      <c r="H50" s="8">
        <f t="shared" si="26"/>
        <v>6.2852485916710714</v>
      </c>
      <c r="I50" s="8">
        <f t="shared" si="26"/>
        <v>6.515274327422417</v>
      </c>
      <c r="J50" s="8">
        <f t="shared" si="26"/>
        <v>6.706894523821755</v>
      </c>
      <c r="K50" s="8">
        <f t="shared" si="26"/>
        <v>6.8767186538289362</v>
      </c>
      <c r="L50" s="8">
        <f t="shared" si="26"/>
        <v>7.0320068433808904</v>
      </c>
      <c r="M50" s="8">
        <f t="shared" si="26"/>
        <v>7.1765405473087638</v>
      </c>
      <c r="N50" s="8">
        <f t="shared" si="26"/>
        <v>7.3125794993502282</v>
      </c>
      <c r="O50" s="8">
        <f t="shared" si="26"/>
        <v>7.4416234727891091</v>
      </c>
      <c r="P50" s="8">
        <f t="shared" si="26"/>
        <v>7.5647442051297862</v>
      </c>
      <c r="Q50" s="8">
        <f t="shared" si="26"/>
        <v>7.6827480955653584</v>
      </c>
      <c r="R50" s="8">
        <f t="shared" si="26"/>
        <v>7.7962665206545436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</row>
    <row r="51" spans="1:32">
      <c r="A51" s="19"/>
      <c r="B51" s="19" t="s">
        <v>25</v>
      </c>
      <c r="C51" s="9">
        <f>cpsatvappw(A47)</f>
        <v>4.2279309676993</v>
      </c>
      <c r="D51" s="9">
        <f>cpw(D$21,$A47)</f>
        <v>4.2066305584399437</v>
      </c>
      <c r="E51" s="9">
        <f t="shared" ref="E51:R51" si="27">cpw(E$21,$A47)</f>
        <v>4.297418396181282</v>
      </c>
      <c r="F51" s="9">
        <f t="shared" si="27"/>
        <v>4.4770609954703211</v>
      </c>
      <c r="G51" s="9">
        <f t="shared" si="27"/>
        <v>4.8578279240552753</v>
      </c>
      <c r="H51" s="9">
        <f t="shared" si="27"/>
        <v>2.9844154064321455</v>
      </c>
      <c r="I51" s="9">
        <f t="shared" si="27"/>
        <v>2.5759419424177818</v>
      </c>
      <c r="J51" s="9">
        <f t="shared" si="27"/>
        <v>2.410491759796221</v>
      </c>
      <c r="K51" s="9">
        <f t="shared" si="27"/>
        <v>2.3391628981509296</v>
      </c>
      <c r="L51" s="9">
        <f t="shared" si="27"/>
        <v>2.3108578458789637</v>
      </c>
      <c r="M51" s="9">
        <f t="shared" si="27"/>
        <v>2.3046299857246386</v>
      </c>
      <c r="N51" s="9">
        <f t="shared" si="27"/>
        <v>2.3109555302215203</v>
      </c>
      <c r="O51" s="9">
        <f t="shared" si="27"/>
        <v>2.325039327886695</v>
      </c>
      <c r="P51" s="9">
        <f t="shared" si="27"/>
        <v>2.3442167278465043</v>
      </c>
      <c r="Q51" s="9">
        <f t="shared" si="27"/>
        <v>2.3669004449908826</v>
      </c>
      <c r="R51" s="9">
        <f t="shared" si="27"/>
        <v>2.3921452488525317</v>
      </c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>
      <c r="A52" s="19"/>
      <c r="B52" s="19" t="s">
        <v>27</v>
      </c>
      <c r="C52" s="9">
        <f>cvsatvappw(A47)</f>
        <v>2.5311338627612847</v>
      </c>
      <c r="D52" s="9">
        <f>cvw(D$21,$A47)</f>
        <v>3.7612813820789794</v>
      </c>
      <c r="E52" s="9">
        <f t="shared" ref="E52:R52" si="28">cvw(E$21,$A47)</f>
        <v>3.5227499385177032</v>
      </c>
      <c r="F52" s="9">
        <f t="shared" si="28"/>
        <v>3.3147765758408334</v>
      </c>
      <c r="G52" s="9">
        <f t="shared" si="28"/>
        <v>3.1508541826293359</v>
      </c>
      <c r="H52" s="9">
        <f t="shared" si="28"/>
        <v>1.987782745954557</v>
      </c>
      <c r="I52" s="9">
        <f t="shared" si="28"/>
        <v>1.8145221220270216</v>
      </c>
      <c r="J52" s="9">
        <f t="shared" si="28"/>
        <v>1.7530900325805574</v>
      </c>
      <c r="K52" s="9">
        <f t="shared" si="28"/>
        <v>1.7381269178026237</v>
      </c>
      <c r="L52" s="9">
        <f t="shared" si="28"/>
        <v>1.744502059801752</v>
      </c>
      <c r="M52" s="9">
        <f t="shared" si="28"/>
        <v>1.7615003036853072</v>
      </c>
      <c r="N52" s="9">
        <f t="shared" si="28"/>
        <v>1.7842760350525233</v>
      </c>
      <c r="O52" s="9">
        <f t="shared" si="28"/>
        <v>1.8104550206654633</v>
      </c>
      <c r="P52" s="9">
        <f t="shared" si="28"/>
        <v>1.8387620419566519</v>
      </c>
      <c r="Q52" s="9">
        <f t="shared" si="28"/>
        <v>1.8684743833491295</v>
      </c>
      <c r="R52" s="9">
        <f t="shared" si="28"/>
        <v>1.8992176092505315</v>
      </c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>
      <c r="A53" s="19"/>
      <c r="B53" s="19" t="s">
        <v>26</v>
      </c>
      <c r="C53" s="15">
        <f>isentropic_coeffsatvaptW(A48+273.15)</f>
        <v>1.2610065129240984</v>
      </c>
      <c r="D53" s="9">
        <f>isentropic_coeffW(D$21,$A47)</f>
        <v>-1</v>
      </c>
      <c r="E53" s="9">
        <f t="shared" ref="E53:R53" si="29">isentropic_coeffW(E$21,$A47)</f>
        <v>-1</v>
      </c>
      <c r="F53" s="9">
        <f t="shared" si="29"/>
        <v>-1</v>
      </c>
      <c r="G53" s="9">
        <f t="shared" si="29"/>
        <v>-1</v>
      </c>
      <c r="H53" s="9">
        <f t="shared" si="29"/>
        <v>1.2832727590812507</v>
      </c>
      <c r="I53" s="9">
        <f t="shared" si="29"/>
        <v>1.2866574628590941</v>
      </c>
      <c r="J53" s="9">
        <f t="shared" si="29"/>
        <v>1.2851634264264962</v>
      </c>
      <c r="K53" s="9">
        <f t="shared" si="29"/>
        <v>1.2815657747271332</v>
      </c>
      <c r="L53" s="9">
        <f t="shared" si="29"/>
        <v>1.2770968282217505</v>
      </c>
      <c r="M53" s="9">
        <f t="shared" si="29"/>
        <v>1.2723125378422926</v>
      </c>
      <c r="N53" s="9">
        <f t="shared" si="29"/>
        <v>1.2674700694962893</v>
      </c>
      <c r="O53" s="9">
        <f t="shared" si="29"/>
        <v>1.2626932525599051</v>
      </c>
      <c r="P53" s="9">
        <f t="shared" si="29"/>
        <v>1.2580416515719102</v>
      </c>
      <c r="Q53" s="9">
        <f t="shared" si="29"/>
        <v>1.2535380877260967</v>
      </c>
      <c r="R53" s="9">
        <f t="shared" si="29"/>
        <v>1.2491784904662511</v>
      </c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</row>
    <row r="54" spans="1:32">
      <c r="A54" s="19"/>
      <c r="B54" s="19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</row>
    <row r="55" spans="1:32">
      <c r="A55" s="30">
        <f>A47+1</f>
        <v>46</v>
      </c>
      <c r="B55" s="19" t="s">
        <v>22</v>
      </c>
      <c r="C55" s="8">
        <f>denssatvappw(A55)</f>
        <v>23.223598585810098</v>
      </c>
      <c r="D55" s="8">
        <f>densw(D$21,$A55)</f>
        <v>960.44999667855711</v>
      </c>
      <c r="E55" s="8">
        <f t="shared" ref="E55:R55" si="30">densw(E$21,$A55)</f>
        <v>919.33200151666665</v>
      </c>
      <c r="F55" s="8">
        <f t="shared" si="30"/>
        <v>866.97131816860758</v>
      </c>
      <c r="G55" s="8">
        <f t="shared" si="30"/>
        <v>799.61775092404071</v>
      </c>
      <c r="H55" s="8">
        <f t="shared" si="30"/>
        <v>19.972250230947875</v>
      </c>
      <c r="I55" s="8">
        <f t="shared" si="30"/>
        <v>17.53671531691414</v>
      </c>
      <c r="J55" s="8">
        <f t="shared" si="30"/>
        <v>15.806147781977121</v>
      </c>
      <c r="K55" s="8">
        <f t="shared" si="30"/>
        <v>14.463186691241402</v>
      </c>
      <c r="L55" s="8">
        <f t="shared" si="30"/>
        <v>13.369817565509804</v>
      </c>
      <c r="M55" s="8">
        <f t="shared" si="30"/>
        <v>12.452528371325025</v>
      </c>
      <c r="N55" s="8">
        <f t="shared" si="30"/>
        <v>11.666797359926273</v>
      </c>
      <c r="O55" s="8">
        <f t="shared" si="30"/>
        <v>10.983260398706886</v>
      </c>
      <c r="P55" s="8">
        <f t="shared" si="30"/>
        <v>10.381383871580477</v>
      </c>
      <c r="Q55" s="8">
        <f t="shared" si="30"/>
        <v>9.8461913551859972</v>
      </c>
      <c r="R55" s="8">
        <f t="shared" si="30"/>
        <v>9.3664048903522925</v>
      </c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</row>
    <row r="56" spans="1:32">
      <c r="A56" s="24">
        <f>tsatw(A55)-$E$13</f>
        <v>258.78274119806815</v>
      </c>
      <c r="B56" s="19" t="s">
        <v>14</v>
      </c>
      <c r="C56" s="9">
        <f>$A55*100*$E$11/($E$12*($A56+$E$13)*C55)</f>
        <v>0.8068176585897161</v>
      </c>
      <c r="D56" s="9">
        <f t="shared" ref="D56:R56" si="31">$A55*100*$E$11/($E$12*(D$21)*D55)</f>
        <v>2.781015621437952E-2</v>
      </c>
      <c r="E56" s="9">
        <f t="shared" si="31"/>
        <v>2.5620931216602364E-2</v>
      </c>
      <c r="F56" s="9">
        <f t="shared" si="31"/>
        <v>2.4297302420772889E-2</v>
      </c>
      <c r="G56" s="9">
        <f t="shared" si="31"/>
        <v>2.3826100947280902E-2</v>
      </c>
      <c r="H56" s="9">
        <f t="shared" si="31"/>
        <v>0.87069557697741751</v>
      </c>
      <c r="I56" s="9">
        <f t="shared" si="31"/>
        <v>0.9120544831985502</v>
      </c>
      <c r="J56" s="9">
        <f t="shared" si="31"/>
        <v>0.93675009424327005</v>
      </c>
      <c r="K56" s="9">
        <f t="shared" si="31"/>
        <v>0.95294810561261034</v>
      </c>
      <c r="L56" s="9">
        <f t="shared" si="31"/>
        <v>0.96421168938856583</v>
      </c>
      <c r="M56" s="9">
        <f t="shared" si="31"/>
        <v>0.97235558112269727</v>
      </c>
      <c r="N56" s="9">
        <f t="shared" si="31"/>
        <v>0.97841053584670201</v>
      </c>
      <c r="O56" s="9">
        <f t="shared" si="31"/>
        <v>0.983010324914661</v>
      </c>
      <c r="P56" s="9">
        <f t="shared" si="31"/>
        <v>0.98656702727684775</v>
      </c>
      <c r="Q56" s="9">
        <f t="shared" si="31"/>
        <v>0.98935932923330749</v>
      </c>
      <c r="R56" s="9">
        <f t="shared" si="31"/>
        <v>0.99158118215239777</v>
      </c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</row>
    <row r="57" spans="1:32">
      <c r="A57" s="19"/>
      <c r="B57" s="19" t="s">
        <v>23</v>
      </c>
      <c r="C57" s="10">
        <f>enthalpysatvappw(A55)</f>
        <v>2797.307805072785</v>
      </c>
      <c r="D57" s="10">
        <f>enthalpyw(D$21,$A55)</f>
        <v>422.48088807481759</v>
      </c>
      <c r="E57" s="10">
        <f t="shared" ref="E57:R57" si="32">enthalpyw(E$21,$A55)</f>
        <v>634.80644641620052</v>
      </c>
      <c r="F57" s="10">
        <f t="shared" si="32"/>
        <v>853.63480759860465</v>
      </c>
      <c r="G57" s="10">
        <f t="shared" si="32"/>
        <v>1085.6701463539785</v>
      </c>
      <c r="H57" s="10">
        <f t="shared" si="32"/>
        <v>2940.4883663155465</v>
      </c>
      <c r="I57" s="10">
        <f t="shared" si="32"/>
        <v>3079.0653293582386</v>
      </c>
      <c r="J57" s="10">
        <f t="shared" si="32"/>
        <v>3203.7772419382663</v>
      </c>
      <c r="K57" s="10">
        <f t="shared" si="32"/>
        <v>3322.65183801169</v>
      </c>
      <c r="L57" s="10">
        <f t="shared" si="32"/>
        <v>3439.040079258612</v>
      </c>
      <c r="M57" s="10">
        <f t="shared" si="32"/>
        <v>3554.5502017996964</v>
      </c>
      <c r="N57" s="10">
        <f t="shared" si="32"/>
        <v>3670.0448430859651</v>
      </c>
      <c r="O57" s="10">
        <f t="shared" si="32"/>
        <v>3786.0332708668807</v>
      </c>
      <c r="P57" s="10">
        <f t="shared" si="32"/>
        <v>3902.8392118821753</v>
      </c>
      <c r="Q57" s="10">
        <f t="shared" si="32"/>
        <v>4020.6798786588779</v>
      </c>
      <c r="R57" s="10">
        <f t="shared" si="32"/>
        <v>4139.7086132644599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>
      <c r="A58" s="19"/>
      <c r="B58" s="19" t="s">
        <v>24</v>
      </c>
      <c r="C58" s="8">
        <f>entropysatvappw(A55)</f>
        <v>6.0103028539149852</v>
      </c>
      <c r="D58" s="8">
        <f>entropyw(D$21,$A55)</f>
        <v>1.3035111757749784</v>
      </c>
      <c r="E58" s="8">
        <f t="shared" ref="E58:R58" si="33">entropyw(E$21,$A55)</f>
        <v>1.8373755665082485</v>
      </c>
      <c r="F58" s="8">
        <f t="shared" si="33"/>
        <v>2.3259913953090501</v>
      </c>
      <c r="G58" s="8">
        <f t="shared" si="33"/>
        <v>2.7918632741460896</v>
      </c>
      <c r="H58" s="8">
        <f t="shared" si="33"/>
        <v>6.2700910279548729</v>
      </c>
      <c r="I58" s="8">
        <f t="shared" si="33"/>
        <v>6.5021466880835668</v>
      </c>
      <c r="J58" s="8">
        <f t="shared" si="33"/>
        <v>6.6947390178284483</v>
      </c>
      <c r="K58" s="8">
        <f t="shared" si="33"/>
        <v>6.8651143612497396</v>
      </c>
      <c r="L58" s="8">
        <f t="shared" si="33"/>
        <v>7.0207514756900862</v>
      </c>
      <c r="M58" s="8">
        <f t="shared" si="33"/>
        <v>7.1655235142758356</v>
      </c>
      <c r="N58" s="8">
        <f t="shared" si="33"/>
        <v>7.3017337573948362</v>
      </c>
      <c r="O58" s="8">
        <f t="shared" si="33"/>
        <v>7.4309051004827271</v>
      </c>
      <c r="P58" s="8">
        <f t="shared" si="33"/>
        <v>7.5541228257535451</v>
      </c>
      <c r="Q58" s="8">
        <f t="shared" si="33"/>
        <v>7.6722019123314125</v>
      </c>
      <c r="R58" s="8">
        <f t="shared" si="33"/>
        <v>7.7857794912662648</v>
      </c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</row>
    <row r="59" spans="1:32">
      <c r="A59" s="19"/>
      <c r="B59" s="19" t="s">
        <v>25</v>
      </c>
      <c r="C59" s="9">
        <f>cpsatvappw(A55)</f>
        <v>4.269549672386983</v>
      </c>
      <c r="D59" s="9">
        <f>cpw(D$21,$A55)</f>
        <v>4.2064059879784175</v>
      </c>
      <c r="E59" s="9">
        <f t="shared" ref="E59:R59" si="34">cpw(E$21,$A55)</f>
        <v>4.2971047640479592</v>
      </c>
      <c r="F59" s="9">
        <f t="shared" si="34"/>
        <v>4.4764979262829181</v>
      </c>
      <c r="G59" s="9">
        <f t="shared" si="34"/>
        <v>4.8564747963537505</v>
      </c>
      <c r="H59" s="9">
        <f t="shared" si="34"/>
        <v>3.0198525310609114</v>
      </c>
      <c r="I59" s="9">
        <f t="shared" si="34"/>
        <v>2.5924719138168251</v>
      </c>
      <c r="J59" s="9">
        <f t="shared" si="34"/>
        <v>2.4200118734042202</v>
      </c>
      <c r="K59" s="9">
        <f t="shared" si="34"/>
        <v>2.3453574067560985</v>
      </c>
      <c r="L59" s="9">
        <f t="shared" si="34"/>
        <v>2.3152453700150608</v>
      </c>
      <c r="M59" s="9">
        <f t="shared" si="34"/>
        <v>2.3079190233913418</v>
      </c>
      <c r="N59" s="9">
        <f t="shared" si="34"/>
        <v>2.3135137241255346</v>
      </c>
      <c r="O59" s="9">
        <f t="shared" si="34"/>
        <v>2.3270782927129088</v>
      </c>
      <c r="P59" s="9">
        <f t="shared" si="34"/>
        <v>2.3458700690419176</v>
      </c>
      <c r="Q59" s="9">
        <f t="shared" si="34"/>
        <v>2.3682589124301319</v>
      </c>
      <c r="R59" s="9">
        <f t="shared" si="34"/>
        <v>2.3932737934236834</v>
      </c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</row>
    <row r="60" spans="1:32">
      <c r="A60" s="19"/>
      <c r="B60" s="19" t="s">
        <v>27</v>
      </c>
      <c r="C60" s="9">
        <f>cvsatvappw(A55)</f>
        <v>2.5432437162578929</v>
      </c>
      <c r="D60" s="9">
        <f>cvw(D$21,$A55)</f>
        <v>3.7611361560842074</v>
      </c>
      <c r="E60" s="9">
        <f t="shared" ref="E60:R60" si="35">cvw(E$21,$A55)</f>
        <v>3.5226587802100116</v>
      </c>
      <c r="F60" s="9">
        <f t="shared" si="35"/>
        <v>3.3147024398889919</v>
      </c>
      <c r="G60" s="9">
        <f t="shared" si="35"/>
        <v>3.1507688484402734</v>
      </c>
      <c r="H60" s="9">
        <f t="shared" si="35"/>
        <v>2.0020077161168972</v>
      </c>
      <c r="I60" s="9">
        <f t="shared" si="35"/>
        <v>1.8214439281092139</v>
      </c>
      <c r="J60" s="9">
        <f t="shared" si="35"/>
        <v>1.7570460952415023</v>
      </c>
      <c r="K60" s="9">
        <f t="shared" si="35"/>
        <v>1.7406495287362893</v>
      </c>
      <c r="L60" s="9">
        <f t="shared" si="35"/>
        <v>1.7462605003983356</v>
      </c>
      <c r="M60" s="9">
        <f t="shared" si="35"/>
        <v>1.7628048145922259</v>
      </c>
      <c r="N60" s="9">
        <f t="shared" si="35"/>
        <v>1.7852813385476283</v>
      </c>
      <c r="O60" s="9">
        <f t="shared" si="35"/>
        <v>1.8112464387573852</v>
      </c>
      <c r="P60" s="9">
        <f t="shared" si="35"/>
        <v>1.8393922339703599</v>
      </c>
      <c r="Q60" s="9">
        <f t="shared" si="35"/>
        <v>1.8689793005762332</v>
      </c>
      <c r="R60" s="9">
        <f t="shared" si="35"/>
        <v>1.8996236790898071</v>
      </c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</row>
    <row r="61" spans="1:32">
      <c r="A61" s="19"/>
      <c r="B61" s="19" t="s">
        <v>26</v>
      </c>
      <c r="C61" s="15">
        <f>isentropic_coeffsatvaptW(A56+273.15)</f>
        <v>1.2604608862635345</v>
      </c>
      <c r="D61" s="9">
        <f>isentropic_coeffW(D$21,$A55)</f>
        <v>-1</v>
      </c>
      <c r="E61" s="9">
        <f t="shared" ref="E61:R61" si="36">isentropic_coeffW(E$21,$A55)</f>
        <v>-1</v>
      </c>
      <c r="F61" s="9">
        <f t="shared" si="36"/>
        <v>-1</v>
      </c>
      <c r="G61" s="9">
        <f t="shared" si="36"/>
        <v>-1</v>
      </c>
      <c r="H61" s="9">
        <f t="shared" si="36"/>
        <v>1.282755459121514</v>
      </c>
      <c r="I61" s="9">
        <f t="shared" si="36"/>
        <v>1.2864498308953627</v>
      </c>
      <c r="J61" s="9">
        <f t="shared" si="36"/>
        <v>1.2850880199204044</v>
      </c>
      <c r="K61" s="9">
        <f t="shared" si="36"/>
        <v>1.2815535091687711</v>
      </c>
      <c r="L61" s="9">
        <f t="shared" si="36"/>
        <v>1.2771180850305999</v>
      </c>
      <c r="M61" s="9">
        <f t="shared" si="36"/>
        <v>1.2723544081566014</v>
      </c>
      <c r="N61" s="9">
        <f t="shared" si="36"/>
        <v>1.267526606885961</v>
      </c>
      <c r="O61" s="9">
        <f t="shared" si="36"/>
        <v>1.262761367375363</v>
      </c>
      <c r="P61" s="9">
        <f t="shared" si="36"/>
        <v>1.2581193945727636</v>
      </c>
      <c r="Q61" s="9">
        <f t="shared" si="36"/>
        <v>1.2536239390814254</v>
      </c>
      <c r="R61" s="9">
        <f t="shared" si="36"/>
        <v>1.2492710736501436</v>
      </c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</row>
    <row r="62" spans="1:32">
      <c r="A62" s="19"/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</row>
    <row r="63" spans="1:32">
      <c r="A63" s="3"/>
      <c r="C63" s="5"/>
      <c r="D63" s="5"/>
      <c r="E63" s="5"/>
    </row>
    <row r="64" spans="1:32">
      <c r="A64" s="7"/>
      <c r="C64" s="4"/>
      <c r="D64" s="4"/>
      <c r="E64" s="4"/>
    </row>
    <row r="65" spans="1:5">
      <c r="C65" s="6"/>
      <c r="D65" s="6"/>
      <c r="E65" s="6"/>
    </row>
    <row r="66" spans="1:5">
      <c r="C66" s="5"/>
      <c r="D66" s="5"/>
      <c r="E66" s="5"/>
    </row>
    <row r="67" spans="1:5">
      <c r="C67" s="4"/>
      <c r="D67" s="4"/>
      <c r="E67" s="4"/>
    </row>
    <row r="68" spans="1:5">
      <c r="C68" s="4"/>
      <c r="D68" s="4"/>
      <c r="E68" s="4"/>
    </row>
    <row r="69" spans="1:5">
      <c r="C69" s="4"/>
      <c r="D69" s="4"/>
      <c r="E69" s="4"/>
    </row>
    <row r="71" spans="1:5">
      <c r="A71" s="3"/>
      <c r="C71" s="5"/>
      <c r="D71" s="5"/>
      <c r="E71" s="5"/>
    </row>
    <row r="72" spans="1:5">
      <c r="A72" s="7"/>
      <c r="C72" s="4"/>
      <c r="D72" s="4"/>
      <c r="E72" s="4"/>
    </row>
    <row r="73" spans="1:5">
      <c r="C73" s="6"/>
      <c r="D73" s="6"/>
      <c r="E73" s="6"/>
    </row>
    <row r="74" spans="1:5">
      <c r="C74" s="5"/>
      <c r="D74" s="5"/>
      <c r="E74" s="5"/>
    </row>
    <row r="75" spans="1:5">
      <c r="C75" s="4"/>
      <c r="D75" s="4"/>
      <c r="E75" s="4"/>
    </row>
    <row r="76" spans="1:5">
      <c r="C76" s="4"/>
      <c r="D76" s="4"/>
      <c r="E76" s="4"/>
    </row>
    <row r="77" spans="1:5">
      <c r="C77" s="4"/>
      <c r="D77" s="4"/>
      <c r="E77" s="4"/>
    </row>
    <row r="79" spans="1:5">
      <c r="A79" s="3"/>
      <c r="C79" s="5"/>
      <c r="D79" s="5"/>
      <c r="E79" s="5"/>
    </row>
    <row r="80" spans="1:5">
      <c r="A80" s="7"/>
      <c r="C80" s="4"/>
      <c r="D80" s="4"/>
      <c r="E80" s="4"/>
    </row>
    <row r="81" spans="1:5">
      <c r="C81" s="6"/>
      <c r="D81" s="6"/>
      <c r="E81" s="6"/>
    </row>
    <row r="82" spans="1:5">
      <c r="C82" s="5"/>
      <c r="D82" s="5"/>
      <c r="E82" s="5"/>
    </row>
    <row r="83" spans="1:5">
      <c r="C83" s="4"/>
      <c r="D83" s="4"/>
      <c r="E83" s="4"/>
    </row>
    <row r="84" spans="1:5">
      <c r="C84" s="4"/>
      <c r="D84" s="4"/>
      <c r="E84" s="4"/>
    </row>
    <row r="85" spans="1:5">
      <c r="C85" s="4"/>
      <c r="D85" s="4"/>
      <c r="E85" s="4"/>
    </row>
    <row r="87" spans="1:5">
      <c r="A87" s="3"/>
      <c r="C87" s="5"/>
      <c r="D87" s="5"/>
      <c r="E87" s="5"/>
    </row>
    <row r="88" spans="1:5">
      <c r="A88" s="7"/>
      <c r="C88" s="4"/>
      <c r="D88" s="4"/>
      <c r="E88" s="4"/>
    </row>
    <row r="89" spans="1:5">
      <c r="C89" s="6"/>
      <c r="D89" s="6"/>
      <c r="E89" s="6"/>
    </row>
    <row r="90" spans="1:5">
      <c r="C90" s="5"/>
      <c r="D90" s="5"/>
      <c r="E90" s="5"/>
    </row>
    <row r="91" spans="1:5">
      <c r="C91" s="4"/>
      <c r="D91" s="4"/>
      <c r="E91" s="4"/>
    </row>
    <row r="92" spans="1:5">
      <c r="C92" s="4"/>
      <c r="D92" s="4"/>
      <c r="E92" s="4"/>
    </row>
    <row r="93" spans="1:5">
      <c r="C93" s="4"/>
      <c r="D93" s="4"/>
      <c r="E93" s="4"/>
    </row>
    <row r="95" spans="1:5">
      <c r="A95" s="3"/>
      <c r="C95" s="5"/>
      <c r="D95" s="5"/>
      <c r="E95" s="5"/>
    </row>
    <row r="96" spans="1:5">
      <c r="A96" s="7"/>
      <c r="C96" s="4"/>
      <c r="D96" s="4"/>
      <c r="E96" s="4"/>
    </row>
    <row r="97" spans="1:5">
      <c r="C97" s="6"/>
      <c r="D97" s="6"/>
      <c r="E97" s="6"/>
    </row>
    <row r="98" spans="1:5">
      <c r="C98" s="5"/>
      <c r="D98" s="5"/>
      <c r="E98" s="5"/>
    </row>
    <row r="99" spans="1:5">
      <c r="C99" s="4"/>
      <c r="D99" s="4"/>
      <c r="E99" s="4"/>
    </row>
    <row r="100" spans="1:5">
      <c r="C100" s="4"/>
      <c r="D100" s="4"/>
      <c r="E100" s="4"/>
    </row>
    <row r="101" spans="1:5">
      <c r="C101" s="4"/>
      <c r="D101" s="4"/>
      <c r="E101" s="4"/>
    </row>
    <row r="103" spans="1:5">
      <c r="A103" s="3"/>
      <c r="C103" s="5"/>
      <c r="D103" s="5"/>
      <c r="E103" s="5"/>
    </row>
    <row r="104" spans="1:5">
      <c r="A104" s="7"/>
      <c r="C104" s="4"/>
      <c r="D104" s="4"/>
      <c r="E104" s="4"/>
    </row>
    <row r="105" spans="1:5">
      <c r="C105" s="6"/>
      <c r="D105" s="6"/>
      <c r="E105" s="6"/>
    </row>
    <row r="106" spans="1:5">
      <c r="C106" s="5"/>
      <c r="D106" s="5"/>
      <c r="E106" s="5"/>
    </row>
    <row r="107" spans="1:5">
      <c r="C107" s="4"/>
      <c r="D107" s="4"/>
      <c r="E107" s="4"/>
    </row>
    <row r="108" spans="1:5">
      <c r="C108" s="4"/>
      <c r="D108" s="4"/>
      <c r="E108" s="4"/>
    </row>
    <row r="109" spans="1:5">
      <c r="C109" s="4"/>
      <c r="D109" s="4"/>
      <c r="E109" s="4"/>
    </row>
    <row r="111" spans="1:5">
      <c r="A111" s="3"/>
      <c r="C111" s="5"/>
      <c r="D111" s="5"/>
      <c r="E111" s="5"/>
    </row>
    <row r="112" spans="1:5">
      <c r="A112" s="7"/>
      <c r="C112" s="4"/>
      <c r="D112" s="4"/>
      <c r="E112" s="4"/>
    </row>
    <row r="113" spans="1:5">
      <c r="C113" s="6"/>
      <c r="D113" s="6"/>
      <c r="E113" s="6"/>
    </row>
    <row r="114" spans="1:5">
      <c r="C114" s="5"/>
      <c r="D114" s="5"/>
      <c r="E114" s="5"/>
    </row>
    <row r="115" spans="1:5">
      <c r="C115" s="4"/>
      <c r="D115" s="4"/>
      <c r="E115" s="4"/>
    </row>
    <row r="116" spans="1:5">
      <c r="C116" s="4"/>
      <c r="D116" s="4"/>
      <c r="E116" s="4"/>
    </row>
    <row r="117" spans="1:5">
      <c r="C117" s="4"/>
      <c r="D117" s="4"/>
      <c r="E117" s="4"/>
    </row>
    <row r="119" spans="1:5">
      <c r="A119" s="3"/>
      <c r="C119" s="5"/>
      <c r="D119" s="5"/>
      <c r="E119" s="5"/>
    </row>
    <row r="120" spans="1:5">
      <c r="A120" s="7"/>
      <c r="C120" s="4"/>
      <c r="D120" s="4"/>
      <c r="E120" s="4"/>
    </row>
    <row r="121" spans="1:5">
      <c r="C121" s="6"/>
      <c r="D121" s="6"/>
      <c r="E121" s="6"/>
    </row>
    <row r="122" spans="1:5">
      <c r="C122" s="5"/>
      <c r="D122" s="5"/>
      <c r="E122" s="5"/>
    </row>
    <row r="123" spans="1:5">
      <c r="C123" s="4"/>
      <c r="D123" s="4"/>
      <c r="E123" s="4"/>
    </row>
    <row r="124" spans="1:5">
      <c r="C124" s="4"/>
      <c r="D124" s="4"/>
      <c r="E124" s="4"/>
    </row>
    <row r="125" spans="1:5">
      <c r="C125" s="4"/>
      <c r="D125" s="4"/>
      <c r="E125" s="4"/>
    </row>
    <row r="127" spans="1:5">
      <c r="A127" s="3"/>
      <c r="C127" s="5"/>
      <c r="D127" s="5"/>
      <c r="E127" s="5"/>
    </row>
    <row r="128" spans="1:5">
      <c r="A128" s="7"/>
      <c r="C128" s="4"/>
      <c r="D128" s="4"/>
      <c r="E128" s="4"/>
    </row>
    <row r="129" spans="3:5">
      <c r="C129" s="6"/>
      <c r="D129" s="6"/>
      <c r="E129" s="6"/>
    </row>
    <row r="130" spans="3:5">
      <c r="C130" s="5"/>
      <c r="D130" s="5"/>
      <c r="E130" s="5"/>
    </row>
    <row r="131" spans="3:5">
      <c r="C131" s="4"/>
      <c r="D131" s="4"/>
      <c r="E131" s="4"/>
    </row>
    <row r="132" spans="3:5">
      <c r="C132" s="4"/>
      <c r="D132" s="4"/>
      <c r="E132" s="4"/>
    </row>
    <row r="133" spans="3:5">
      <c r="C133" s="4"/>
      <c r="D133" s="4"/>
      <c r="E133" s="4"/>
    </row>
  </sheetData>
  <phoneticPr fontId="2" type="noConversion"/>
  <conditionalFormatting sqref="D25:R25 D33:R33 D41:R41 D49:R49 D57:R57">
    <cfRule type="expression" dxfId="6" priority="1" stopIfTrue="1">
      <formula>#REF!&lt;0.294</formula>
    </cfRule>
  </conditionalFormatting>
  <conditionalFormatting sqref="D23:R23 D31:R31 D39:R39 D47:R47 D55:R55">
    <cfRule type="expression" dxfId="5" priority="2" stopIfTrue="1">
      <formula>A2&lt;0.294</formula>
    </cfRule>
  </conditionalFormatting>
  <conditionalFormatting sqref="D26:R26 D34:R34 D42:R42 D50:R50 D58:R58">
    <cfRule type="expression" dxfId="4" priority="3" stopIfTrue="1">
      <formula>#REF!&lt;0.294</formula>
    </cfRule>
  </conditionalFormatting>
  <conditionalFormatting sqref="D27:R27 D37:R37 D43:R43 D51:R51 D59:R59 D29:R29 D35:R35 D45:R45 D53:R53 D61:R61">
    <cfRule type="expression" dxfId="3" priority="4" stopIfTrue="1">
      <formula>#REF!&lt;0.294</formula>
    </cfRule>
  </conditionalFormatting>
  <conditionalFormatting sqref="D28:R28 D36:R36 D44:R44 D52:R52 D60:R60">
    <cfRule type="expression" dxfId="2" priority="5" stopIfTrue="1">
      <formula>#REF!&lt;0.294</formula>
    </cfRule>
  </conditionalFormatting>
  <conditionalFormatting sqref="D24:R24 D32:R32 D40:R40 D48:R48 D56:R56">
    <cfRule type="cellIs" dxfId="1" priority="6" stopIfTrue="1" operator="lessThan">
      <formula>0.294</formula>
    </cfRule>
  </conditionalFormatting>
  <pageMargins left="0.75" right="0.75" top="1" bottom="1" header="0.5" footer="0.5"/>
  <pageSetup paperSize="3" scale="83" orientation="landscape" horizontalDpi="4294967292"/>
  <headerFooter alignWithMargins="0">
    <oddFooter>&amp;L&amp;F:[&amp;A]&amp;R&amp;P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T396"/>
  <sheetViews>
    <sheetView workbookViewId="0">
      <selection activeCell="A20" sqref="A20"/>
    </sheetView>
  </sheetViews>
  <sheetFormatPr baseColWidth="10" defaultColWidth="8.83203125" defaultRowHeight="13"/>
  <cols>
    <col min="1" max="3" width="10.6640625" customWidth="1"/>
    <col min="4" max="4" width="11.5" customWidth="1"/>
    <col min="10" max="11" width="11" customWidth="1"/>
    <col min="13" max="13" width="13.1640625" customWidth="1"/>
  </cols>
  <sheetData>
    <row r="1" spans="1:19">
      <c r="A1" s="17" t="s">
        <v>54</v>
      </c>
    </row>
    <row r="2" spans="1:19">
      <c r="A2" t="str">
        <f>'Superheated Steam'!A2</f>
        <v>Kevin Dorma Consulting, Ltd.</v>
      </c>
    </row>
    <row r="3" spans="1:19">
      <c r="A3" s="1" t="s">
        <v>63</v>
      </c>
      <c r="B3">
        <f>'Saturated Water'!D3</f>
        <v>1</v>
      </c>
    </row>
    <row r="4" spans="1:19">
      <c r="A4" s="1"/>
    </row>
    <row r="5" spans="1:19">
      <c r="A5" s="17" t="s">
        <v>0</v>
      </c>
      <c r="D5" s="17" t="s">
        <v>51</v>
      </c>
    </row>
    <row r="6" spans="1:19">
      <c r="A6" t="s">
        <v>1</v>
      </c>
      <c r="B6" t="s">
        <v>2</v>
      </c>
      <c r="C6" s="25" t="s">
        <v>31</v>
      </c>
      <c r="D6" s="3">
        <v>273</v>
      </c>
      <c r="E6" s="3">
        <v>1073</v>
      </c>
      <c r="F6" t="s">
        <v>2</v>
      </c>
    </row>
    <row r="7" spans="1:19">
      <c r="A7" t="s">
        <v>3</v>
      </c>
      <c r="B7" t="s">
        <v>4</v>
      </c>
      <c r="C7" s="25" t="s">
        <v>32</v>
      </c>
      <c r="D7" s="3">
        <v>0</v>
      </c>
      <c r="E7" s="3">
        <v>1000</v>
      </c>
      <c r="F7" t="s">
        <v>4</v>
      </c>
    </row>
    <row r="8" spans="1:19">
      <c r="A8" t="s">
        <v>52</v>
      </c>
      <c r="B8" t="s">
        <v>5</v>
      </c>
    </row>
    <row r="10" spans="1:19">
      <c r="A10" s="17" t="s">
        <v>29</v>
      </c>
      <c r="D10" s="17" t="s">
        <v>30</v>
      </c>
    </row>
    <row r="11" spans="1:19">
      <c r="A11" t="s">
        <v>17</v>
      </c>
      <c r="B11">
        <v>647.096</v>
      </c>
      <c r="C11" t="s">
        <v>2</v>
      </c>
      <c r="D11" t="s">
        <v>10</v>
      </c>
      <c r="E11">
        <v>18.015256999999998</v>
      </c>
      <c r="F11" t="s">
        <v>13</v>
      </c>
    </row>
    <row r="12" spans="1:19">
      <c r="B12">
        <f>B11-$E$13</f>
        <v>373.94600000000003</v>
      </c>
      <c r="C12" t="s">
        <v>6</v>
      </c>
      <c r="D12" t="s">
        <v>11</v>
      </c>
      <c r="E12">
        <v>8.3145100000000003</v>
      </c>
      <c r="F12" t="s">
        <v>12</v>
      </c>
    </row>
    <row r="13" spans="1:19">
      <c r="A13" t="s">
        <v>18</v>
      </c>
      <c r="B13">
        <v>220.64</v>
      </c>
      <c r="C13" t="s">
        <v>4</v>
      </c>
      <c r="D13" t="s">
        <v>16</v>
      </c>
      <c r="E13">
        <v>273.14999999999998</v>
      </c>
      <c r="R13" s="37"/>
    </row>
    <row r="14" spans="1:19">
      <c r="A14" t="s">
        <v>19</v>
      </c>
      <c r="B14">
        <v>322</v>
      </c>
      <c r="C14" t="s">
        <v>5</v>
      </c>
    </row>
    <row r="15" spans="1:19">
      <c r="Q15" s="37"/>
      <c r="S15" s="37"/>
    </row>
    <row r="16" spans="1:19">
      <c r="A16" s="31" t="s">
        <v>48</v>
      </c>
      <c r="B16" s="31"/>
      <c r="C16" s="31"/>
      <c r="S16" s="37"/>
    </row>
    <row r="17" spans="1:20">
      <c r="A17" s="32" t="s">
        <v>53</v>
      </c>
      <c r="B17" s="32"/>
      <c r="C17" s="32"/>
    </row>
    <row r="18" spans="1:20">
      <c r="Q18" s="37"/>
    </row>
    <row r="20" spans="1:20" ht="43" thickBot="1">
      <c r="A20" s="27" t="s">
        <v>15</v>
      </c>
      <c r="B20" s="27" t="s">
        <v>9</v>
      </c>
      <c r="C20" s="27" t="s">
        <v>8</v>
      </c>
      <c r="D20" s="27" t="s">
        <v>22</v>
      </c>
      <c r="E20" s="27" t="s">
        <v>14</v>
      </c>
      <c r="F20" s="27" t="s">
        <v>55</v>
      </c>
      <c r="G20" s="27" t="s">
        <v>56</v>
      </c>
      <c r="H20" s="27" t="s">
        <v>57</v>
      </c>
      <c r="I20" s="27" t="s">
        <v>58</v>
      </c>
      <c r="J20" s="27" t="s">
        <v>62</v>
      </c>
      <c r="K20" s="27" t="s">
        <v>66</v>
      </c>
      <c r="L20" s="27" t="s">
        <v>59</v>
      </c>
      <c r="M20" s="27" t="s">
        <v>60</v>
      </c>
      <c r="P20" s="40"/>
      <c r="R20" s="37"/>
      <c r="S20" s="37"/>
      <c r="T20" s="37"/>
    </row>
    <row r="21" spans="1:20">
      <c r="A21" s="26">
        <v>100</v>
      </c>
      <c r="B21" s="34">
        <v>50</v>
      </c>
      <c r="C21" s="11">
        <f>A21+$E$13</f>
        <v>373.15</v>
      </c>
      <c r="D21" s="14">
        <f>densw(C21,B21)</f>
        <v>960.63507932929269</v>
      </c>
      <c r="E21" s="15">
        <f>B21*100*$E$11/($E$12*C21)/D21</f>
        <v>3.0222606647636374E-2</v>
      </c>
      <c r="F21" s="13">
        <f>enthalpyw($C21,$B21)</f>
        <v>422.7818751192579</v>
      </c>
      <c r="G21" s="14">
        <f>entropyw($C21,$B21)</f>
        <v>1.3032017981183057</v>
      </c>
      <c r="H21" s="15">
        <f>cpw($C21,$B21)</f>
        <v>4.2055090640187371</v>
      </c>
      <c r="I21" s="15">
        <f>cvw($C21,$B21)</f>
        <v>3.7605555622315721</v>
      </c>
      <c r="J21" s="15">
        <f>isentropic_coeffW(C21,B21)</f>
        <v>-1</v>
      </c>
      <c r="K21" s="15">
        <f>spsoundW(C21,B21)</f>
        <v>1555.0702276679531</v>
      </c>
      <c r="L21" s="35">
        <f>viscw($C21,$B21)</f>
        <v>2.8305478709235004E-4</v>
      </c>
      <c r="M21" s="14">
        <f>thconw($C21,$B21)</f>
        <v>0.68177222461195075</v>
      </c>
    </row>
    <row r="22" spans="1:20">
      <c r="A22" s="26">
        <f>A21+10</f>
        <v>110</v>
      </c>
      <c r="B22" s="34">
        <f>B21</f>
        <v>50</v>
      </c>
      <c r="C22" s="11">
        <f>A22+$E$13</f>
        <v>383.15</v>
      </c>
      <c r="D22" s="14">
        <f>densw(C22,B22)</f>
        <v>953.27999343221313</v>
      </c>
      <c r="E22" s="15">
        <f>B22*100*$E$11/($E$12*C22)/D22</f>
        <v>2.9660911832458389E-2</v>
      </c>
      <c r="F22" s="13">
        <f>enthalpyw($C22,$B22)</f>
        <v>464.90177257308932</v>
      </c>
      <c r="G22" s="14">
        <f>entropyw($C22,$B22)</f>
        <v>1.4145916144812161</v>
      </c>
      <c r="H22" s="15">
        <f>cpw($C22,$B22)</f>
        <v>4.2188181453281848</v>
      </c>
      <c r="I22" s="15">
        <f>cvw($C22,$B22)</f>
        <v>3.7110173017939219</v>
      </c>
      <c r="J22" s="15">
        <f>isentropic_coeffW(C22,B22)</f>
        <v>-1</v>
      </c>
      <c r="K22" s="15">
        <f>spsoundW(C22,B22)</f>
        <v>1544.8397729215092</v>
      </c>
      <c r="L22" s="35">
        <f>viscw($C22,$B22)</f>
        <v>2.5598830995887147E-4</v>
      </c>
      <c r="M22" s="14">
        <f>thconw($C22,$B22)</f>
        <v>0.68444923778268774</v>
      </c>
      <c r="P22" s="41"/>
    </row>
    <row r="23" spans="1:20">
      <c r="A23" s="26">
        <f t="shared" ref="A23:A37" si="0">A22+10</f>
        <v>120</v>
      </c>
      <c r="B23" s="34">
        <f t="shared" ref="B23:B37" si="1">B22</f>
        <v>50</v>
      </c>
      <c r="C23" s="11">
        <f t="shared" ref="C23:C37" si="2">A23+$E$13</f>
        <v>393.15</v>
      </c>
      <c r="D23" s="14">
        <f t="shared" ref="D23:D37" si="3">densw(C23,B23)</f>
        <v>945.48969429035458</v>
      </c>
      <c r="E23" s="15">
        <f t="shared" ref="E23:E37" si="4">B23*100*$E$11/($E$12*C23)/D23</f>
        <v>2.9144642127670362E-2</v>
      </c>
      <c r="F23" s="13">
        <f t="shared" ref="F23:F86" si="5">enthalpyw($C23,$B23)</f>
        <v>507.16543192652074</v>
      </c>
      <c r="G23" s="14">
        <f t="shared" ref="G23:G86" si="6">entropyw($C23,$B23)</f>
        <v>1.5234816447151946</v>
      </c>
      <c r="H23" s="15">
        <f t="shared" ref="H23:H86" si="7">cpw($C23,$B23)</f>
        <v>4.2342873596955384</v>
      </c>
      <c r="I23" s="15">
        <f t="shared" ref="I23:I86" si="8">cvw($C23,$B23)</f>
        <v>3.6623197872240314</v>
      </c>
      <c r="J23" s="15">
        <f t="shared" ref="J23:J37" si="9">isentropic_coeffW(C23,B23)</f>
        <v>-1</v>
      </c>
      <c r="K23" s="15">
        <f t="shared" ref="K23:K37" si="10">spsoundW(C23,B23)</f>
        <v>1531.8497680160585</v>
      </c>
      <c r="L23" s="35">
        <f t="shared" ref="L23:L86" si="11">viscw($C23,$B23)</f>
        <v>2.3331083410379095E-4</v>
      </c>
      <c r="M23" s="14">
        <f t="shared" ref="M23:M86" si="12">thconw($C23,$B23)</f>
        <v>0.68602776617577299</v>
      </c>
    </row>
    <row r="24" spans="1:20">
      <c r="A24" s="26">
        <f t="shared" si="0"/>
        <v>130</v>
      </c>
      <c r="B24" s="34">
        <f t="shared" si="1"/>
        <v>50</v>
      </c>
      <c r="C24" s="11">
        <f t="shared" si="2"/>
        <v>403.15</v>
      </c>
      <c r="D24" s="14">
        <f t="shared" si="3"/>
        <v>937.27164459916071</v>
      </c>
      <c r="E24" s="15">
        <f t="shared" si="4"/>
        <v>2.8670922300538235E-2</v>
      </c>
      <c r="F24" s="13">
        <f t="shared" si="5"/>
        <v>549.59533360129569</v>
      </c>
      <c r="G24" s="14">
        <f t="shared" si="6"/>
        <v>1.6300539405188823</v>
      </c>
      <c r="H24" s="15">
        <f t="shared" si="7"/>
        <v>4.2521029123640384</v>
      </c>
      <c r="I24" s="15">
        <f t="shared" si="8"/>
        <v>3.6145754803490546</v>
      </c>
      <c r="J24" s="15">
        <f t="shared" si="9"/>
        <v>-1</v>
      </c>
      <c r="K24" s="15">
        <f t="shared" si="10"/>
        <v>1516.304407855743</v>
      </c>
      <c r="L24" s="35">
        <f t="shared" si="11"/>
        <v>2.1411871549716717E-4</v>
      </c>
      <c r="M24" s="14">
        <f t="shared" si="12"/>
        <v>0.68661559811188</v>
      </c>
    </row>
    <row r="25" spans="1:20">
      <c r="A25" s="26">
        <f t="shared" si="0"/>
        <v>140</v>
      </c>
      <c r="B25" s="34">
        <f t="shared" si="1"/>
        <v>50</v>
      </c>
      <c r="C25" s="11">
        <f t="shared" si="2"/>
        <v>413.15</v>
      </c>
      <c r="D25" s="14">
        <f t="shared" si="3"/>
        <v>928.62793518856267</v>
      </c>
      <c r="E25" s="15">
        <f t="shared" si="4"/>
        <v>2.8237373945955747E-2</v>
      </c>
      <c r="F25" s="13">
        <f t="shared" si="5"/>
        <v>592.21614273389196</v>
      </c>
      <c r="G25" s="14">
        <f t="shared" si="6"/>
        <v>1.7344825200019098</v>
      </c>
      <c r="H25" s="15">
        <f t="shared" si="7"/>
        <v>4.2725166450153029</v>
      </c>
      <c r="I25" s="15">
        <f t="shared" si="8"/>
        <v>3.5678734669082126</v>
      </c>
      <c r="J25" s="15">
        <f t="shared" si="9"/>
        <v>-1</v>
      </c>
      <c r="K25" s="15">
        <f t="shared" si="10"/>
        <v>1498.359562800988</v>
      </c>
      <c r="L25" s="35">
        <f t="shared" si="11"/>
        <v>1.9772568156566203E-4</v>
      </c>
      <c r="M25" s="14">
        <f t="shared" si="12"/>
        <v>0.68628795705141599</v>
      </c>
    </row>
    <row r="26" spans="1:20">
      <c r="A26" s="26">
        <f t="shared" si="0"/>
        <v>150</v>
      </c>
      <c r="B26" s="34">
        <f t="shared" si="1"/>
        <v>50</v>
      </c>
      <c r="C26" s="11">
        <f t="shared" si="2"/>
        <v>423.15</v>
      </c>
      <c r="D26" s="14">
        <f t="shared" si="3"/>
        <v>919.5554678597091</v>
      </c>
      <c r="E26" s="15">
        <f t="shared" si="4"/>
        <v>2.7842070576187844E-2</v>
      </c>
      <c r="F26" s="13">
        <f t="shared" si="5"/>
        <v>635.05539946220199</v>
      </c>
      <c r="G26" s="14">
        <f t="shared" si="6"/>
        <v>1.8369357872458767</v>
      </c>
      <c r="H26" s="15">
        <f t="shared" si="7"/>
        <v>4.295852957620526</v>
      </c>
      <c r="I26" s="15">
        <f t="shared" si="8"/>
        <v>3.5222944382746029</v>
      </c>
      <c r="J26" s="15">
        <f t="shared" si="9"/>
        <v>-1</v>
      </c>
      <c r="K26" s="15">
        <f t="shared" si="10"/>
        <v>1478.1284074514019</v>
      </c>
      <c r="L26" s="35">
        <f t="shared" si="11"/>
        <v>1.8360261953064756E-4</v>
      </c>
      <c r="M26" s="14">
        <f t="shared" si="12"/>
        <v>0.68509218959998763</v>
      </c>
    </row>
    <row r="27" spans="1:20">
      <c r="A27" s="26">
        <f t="shared" si="0"/>
        <v>160</v>
      </c>
      <c r="B27" s="34">
        <f t="shared" si="1"/>
        <v>50</v>
      </c>
      <c r="C27" s="11">
        <f t="shared" si="2"/>
        <v>433.15</v>
      </c>
      <c r="D27" s="14">
        <f t="shared" si="3"/>
        <v>910.0459385730544</v>
      </c>
      <c r="E27" s="15">
        <f t="shared" si="4"/>
        <v>2.7483508409984717E-2</v>
      </c>
      <c r="F27" s="13">
        <f t="shared" si="5"/>
        <v>678.14428539040534</v>
      </c>
      <c r="G27" s="14">
        <f t="shared" si="6"/>
        <v>1.9375788471187747</v>
      </c>
      <c r="H27" s="15">
        <f t="shared" si="7"/>
        <v>4.3225174060305696</v>
      </c>
      <c r="I27" s="15">
        <f t="shared" si="8"/>
        <v>3.4779204751158752</v>
      </c>
      <c r="J27" s="15">
        <f t="shared" si="9"/>
        <v>-1</v>
      </c>
      <c r="K27" s="15">
        <f t="shared" si="10"/>
        <v>1455.686837588602</v>
      </c>
      <c r="L27" s="35">
        <f t="shared" si="11"/>
        <v>1.7133602852042649E-4</v>
      </c>
      <c r="M27" s="14">
        <f t="shared" si="12"/>
        <v>0.68305256075467924</v>
      </c>
    </row>
    <row r="28" spans="1:20">
      <c r="A28" s="26">
        <f t="shared" si="0"/>
        <v>170</v>
      </c>
      <c r="B28" s="34">
        <f t="shared" si="1"/>
        <v>50</v>
      </c>
      <c r="C28" s="11">
        <f t="shared" si="2"/>
        <v>443.15</v>
      </c>
      <c r="D28" s="14">
        <f t="shared" si="3"/>
        <v>900.08562221213708</v>
      </c>
      <c r="E28" s="15">
        <f t="shared" si="4"/>
        <v>2.7160591786387637E-2</v>
      </c>
      <c r="F28" s="13">
        <f t="shared" si="5"/>
        <v>721.51849160131746</v>
      </c>
      <c r="G28" s="14">
        <f t="shared" si="6"/>
        <v>2.0365757875302744</v>
      </c>
      <c r="H28" s="15">
        <f t="shared" si="7"/>
        <v>4.353008714809727</v>
      </c>
      <c r="I28" s="15">
        <f t="shared" si="8"/>
        <v>3.4348408310083425</v>
      </c>
      <c r="J28" s="15">
        <f t="shared" si="9"/>
        <v>-1</v>
      </c>
      <c r="K28" s="15">
        <f t="shared" si="10"/>
        <v>1431.078772422625</v>
      </c>
      <c r="L28" s="35">
        <f t="shared" si="11"/>
        <v>1.6059872163634161E-4</v>
      </c>
      <c r="M28" s="14">
        <f t="shared" si="12"/>
        <v>0.68017434886235884</v>
      </c>
    </row>
    <row r="29" spans="1:20">
      <c r="A29" s="26">
        <f t="shared" si="0"/>
        <v>180</v>
      </c>
      <c r="B29" s="34">
        <f t="shared" si="1"/>
        <v>50</v>
      </c>
      <c r="C29" s="11">
        <f t="shared" si="2"/>
        <v>453.15</v>
      </c>
      <c r="D29" s="14">
        <f t="shared" si="3"/>
        <v>889.65494179250015</v>
      </c>
      <c r="E29" s="15">
        <f t="shared" si="4"/>
        <v>2.6872633343271241E-2</v>
      </c>
      <c r="F29" s="13">
        <f t="shared" si="5"/>
        <v>765.21923192343445</v>
      </c>
      <c r="G29" s="14">
        <f t="shared" si="6"/>
        <v>2.1340920309593092</v>
      </c>
      <c r="H29" s="15">
        <f t="shared" si="7"/>
        <v>4.3879361806822859</v>
      </c>
      <c r="I29" s="15">
        <f t="shared" si="8"/>
        <v>3.3931545807003127</v>
      </c>
      <c r="J29" s="15">
        <f t="shared" si="9"/>
        <v>-1</v>
      </c>
      <c r="K29" s="15">
        <f t="shared" si="10"/>
        <v>1404.3213441965052</v>
      </c>
      <c r="L29" s="35">
        <f t="shared" si="11"/>
        <v>1.5112876394755614E-4</v>
      </c>
      <c r="M29" s="14">
        <f t="shared" si="12"/>
        <v>0.67644681555774855</v>
      </c>
    </row>
    <row r="30" spans="1:20">
      <c r="A30" s="26">
        <f t="shared" si="0"/>
        <v>190</v>
      </c>
      <c r="B30" s="34">
        <f t="shared" si="1"/>
        <v>50</v>
      </c>
      <c r="C30" s="11">
        <f t="shared" si="2"/>
        <v>463.15</v>
      </c>
      <c r="D30" s="14">
        <f t="shared" si="3"/>
        <v>878.72778444857079</v>
      </c>
      <c r="E30" s="15">
        <f t="shared" si="4"/>
        <v>2.6619370404668791E-2</v>
      </c>
      <c r="F30" s="13">
        <f t="shared" si="5"/>
        <v>809.29446752561535</v>
      </c>
      <c r="G30" s="14">
        <f t="shared" si="6"/>
        <v>2.2302968903302669</v>
      </c>
      <c r="H30" s="15">
        <f t="shared" si="7"/>
        <v>4.4280450395616056</v>
      </c>
      <c r="I30" s="15">
        <f t="shared" si="8"/>
        <v>3.3529707873018073</v>
      </c>
      <c r="J30" s="15">
        <f t="shared" si="9"/>
        <v>-1</v>
      </c>
      <c r="K30" s="15">
        <f t="shared" si="10"/>
        <v>1375.4097788462097</v>
      </c>
      <c r="L30" s="35">
        <f t="shared" si="11"/>
        <v>1.4271406386656346E-4</v>
      </c>
      <c r="M30" s="14">
        <f t="shared" si="12"/>
        <v>0.67184487237701418</v>
      </c>
    </row>
    <row r="31" spans="1:20">
      <c r="A31" s="26">
        <f t="shared" si="0"/>
        <v>200</v>
      </c>
      <c r="B31" s="34">
        <f t="shared" si="1"/>
        <v>50</v>
      </c>
      <c r="C31" s="11">
        <f t="shared" si="2"/>
        <v>473.15</v>
      </c>
      <c r="D31" s="14">
        <f t="shared" si="3"/>
        <v>867.27049867970777</v>
      </c>
      <c r="E31" s="15">
        <f t="shared" si="4"/>
        <v>2.6401000685417817E-2</v>
      </c>
      <c r="F31" s="13">
        <f t="shared" si="5"/>
        <v>853.80043996038137</v>
      </c>
      <c r="G31" s="14">
        <f t="shared" si="6"/>
        <v>2.3253665104043648</v>
      </c>
      <c r="H31" s="15">
        <f t="shared" si="7"/>
        <v>4.4742535611094301</v>
      </c>
      <c r="I31" s="15">
        <f t="shared" si="8"/>
        <v>3.3144068453063946</v>
      </c>
      <c r="J31" s="15">
        <f t="shared" si="9"/>
        <v>-1</v>
      </c>
      <c r="K31" s="15">
        <f t="shared" si="10"/>
        <v>1344.3213668667302</v>
      </c>
      <c r="L31" s="35">
        <f t="shared" si="11"/>
        <v>1.3518091281341014E-4</v>
      </c>
      <c r="M31" s="14">
        <f t="shared" si="12"/>
        <v>0.66632941756492647</v>
      </c>
    </row>
    <row r="32" spans="1:20">
      <c r="A32" s="26">
        <f t="shared" si="0"/>
        <v>210</v>
      </c>
      <c r="B32" s="34">
        <f t="shared" si="1"/>
        <v>50</v>
      </c>
      <c r="C32" s="11">
        <f t="shared" si="2"/>
        <v>483.15</v>
      </c>
      <c r="D32" s="14">
        <f t="shared" si="3"/>
        <v>855.24046385646443</v>
      </c>
      <c r="E32" s="15">
        <f t="shared" si="4"/>
        <v>2.6218242864500918E-2</v>
      </c>
      <c r="F32" s="13">
        <f t="shared" si="5"/>
        <v>898.80365745123174</v>
      </c>
      <c r="G32" s="14">
        <f t="shared" si="6"/>
        <v>2.4194874489724048</v>
      </c>
      <c r="H32" s="15">
        <f t="shared" si="7"/>
        <v>4.527707872955526</v>
      </c>
      <c r="I32" s="15">
        <f t="shared" si="8"/>
        <v>3.2775859712618463</v>
      </c>
      <c r="J32" s="15">
        <f t="shared" si="9"/>
        <v>-1</v>
      </c>
      <c r="K32" s="15">
        <f t="shared" si="10"/>
        <v>1311.0172308138526</v>
      </c>
      <c r="L32" s="35">
        <f t="shared" si="11"/>
        <v>1.2838531789877069E-4</v>
      </c>
      <c r="M32" s="14">
        <f t="shared" si="12"/>
        <v>0.65984641270155864</v>
      </c>
    </row>
    <row r="33" spans="1:13">
      <c r="A33" s="26">
        <f t="shared" si="0"/>
        <v>220</v>
      </c>
      <c r="B33" s="34">
        <f t="shared" si="1"/>
        <v>50</v>
      </c>
      <c r="C33" s="11">
        <f t="shared" si="2"/>
        <v>493.15</v>
      </c>
      <c r="D33" s="14">
        <f t="shared" si="3"/>
        <v>842.58404898893264</v>
      </c>
      <c r="E33" s="15">
        <f t="shared" si="4"/>
        <v>2.6072431534952496E-2</v>
      </c>
      <c r="F33" s="13">
        <f t="shared" si="5"/>
        <v>944.38355798595012</v>
      </c>
      <c r="G33" s="14">
        <f t="shared" si="6"/>
        <v>2.5128612769100007</v>
      </c>
      <c r="H33" s="15">
        <f t="shared" si="7"/>
        <v>4.5898647016514662</v>
      </c>
      <c r="I33" s="15">
        <f t="shared" si="8"/>
        <v>3.2426354803105162</v>
      </c>
      <c r="J33" s="15">
        <f t="shared" si="9"/>
        <v>-1</v>
      </c>
      <c r="K33" s="15">
        <f t="shared" si="10"/>
        <v>1275.4396553512147</v>
      </c>
      <c r="L33" s="35">
        <f t="shared" si="11"/>
        <v>1.2220632112640027E-4</v>
      </c>
      <c r="M33" s="14">
        <f t="shared" si="12"/>
        <v>0.65232484831306781</v>
      </c>
    </row>
    <row r="34" spans="1:13">
      <c r="A34" s="26">
        <f t="shared" si="0"/>
        <v>230</v>
      </c>
      <c r="B34" s="34">
        <f t="shared" si="1"/>
        <v>50</v>
      </c>
      <c r="C34" s="11">
        <f t="shared" si="2"/>
        <v>503.15</v>
      </c>
      <c r="D34" s="14">
        <f t="shared" si="3"/>
        <v>829.23364628519198</v>
      </c>
      <c r="E34" s="15">
        <f t="shared" si="4"/>
        <v>2.5965662866498943E-2</v>
      </c>
      <c r="F34" s="13">
        <f t="shared" si="5"/>
        <v>990.63620993952293</v>
      </c>
      <c r="G34" s="14">
        <f t="shared" si="6"/>
        <v>2.605710798015183</v>
      </c>
      <c r="H34" s="15">
        <f t="shared" si="7"/>
        <v>4.6626201121935242</v>
      </c>
      <c r="I34" s="15">
        <f t="shared" si="8"/>
        <v>3.2096883849778353</v>
      </c>
      <c r="J34" s="15">
        <f t="shared" si="9"/>
        <v>-1</v>
      </c>
      <c r="K34" s="15">
        <f t="shared" si="10"/>
        <v>1237.5018315553991</v>
      </c>
      <c r="L34" s="35">
        <f t="shared" si="11"/>
        <v>1.1654071777636141E-4</v>
      </c>
      <c r="M34" s="14">
        <f t="shared" si="12"/>
        <v>0.64367385603590743</v>
      </c>
    </row>
    <row r="35" spans="1:13">
      <c r="A35" s="26">
        <f t="shared" si="0"/>
        <v>240</v>
      </c>
      <c r="B35" s="34">
        <f t="shared" si="1"/>
        <v>50</v>
      </c>
      <c r="C35" s="11">
        <f t="shared" si="2"/>
        <v>513.15</v>
      </c>
      <c r="D35" s="14">
        <f t="shared" si="3"/>
        <v>815.10322709146681</v>
      </c>
      <c r="E35" s="15">
        <f t="shared" si="4"/>
        <v>2.5901019601994531E-2</v>
      </c>
      <c r="F35" s="13">
        <f t="shared" si="5"/>
        <v>1037.6796590915535</v>
      </c>
      <c r="G35" s="14">
        <f t="shared" si="6"/>
        <v>2.6982888946869443</v>
      </c>
      <c r="H35" s="15">
        <f t="shared" si="7"/>
        <v>4.7485174418709235</v>
      </c>
      <c r="I35" s="15">
        <f t="shared" si="8"/>
        <v>3.1788919011412244</v>
      </c>
      <c r="J35" s="15">
        <f t="shared" si="9"/>
        <v>-1</v>
      </c>
      <c r="K35" s="15">
        <f t="shared" si="10"/>
        <v>1197.0663051974966</v>
      </c>
      <c r="L35" s="35">
        <f t="shared" si="11"/>
        <v>1.1129871536629501E-4</v>
      </c>
      <c r="M35" s="14">
        <f t="shared" si="12"/>
        <v>0.63377941683479011</v>
      </c>
    </row>
    <row r="36" spans="1:13">
      <c r="A36" s="26">
        <f t="shared" si="0"/>
        <v>250</v>
      </c>
      <c r="B36" s="34">
        <f t="shared" si="1"/>
        <v>50</v>
      </c>
      <c r="C36" s="11">
        <f t="shared" si="2"/>
        <v>523.15</v>
      </c>
      <c r="D36" s="14">
        <f t="shared" si="3"/>
        <v>800.08142872599342</v>
      </c>
      <c r="E36" s="15">
        <f t="shared" si="4"/>
        <v>2.5882926967510055E-2</v>
      </c>
      <c r="F36" s="13">
        <f t="shared" si="5"/>
        <v>1085.6619947751906</v>
      </c>
      <c r="G36" s="14">
        <f t="shared" si="6"/>
        <v>2.7908917640584177</v>
      </c>
      <c r="H36" s="15">
        <f t="shared" si="7"/>
        <v>4.8510974790684376</v>
      </c>
      <c r="I36" s="15">
        <f t="shared" si="8"/>
        <v>3.1504289033428048</v>
      </c>
      <c r="J36" s="15">
        <f t="shared" si="9"/>
        <v>-1</v>
      </c>
      <c r="K36" s="15">
        <f t="shared" si="10"/>
        <v>1153.9075408445854</v>
      </c>
      <c r="L36" s="35">
        <f t="shared" si="11"/>
        <v>1.0640012994300046E-4</v>
      </c>
      <c r="M36" s="14">
        <f t="shared" si="12"/>
        <v>0.62250143730552043</v>
      </c>
    </row>
    <row r="37" spans="1:13">
      <c r="A37" s="26">
        <f t="shared" si="0"/>
        <v>260</v>
      </c>
      <c r="B37" s="34">
        <f t="shared" si="1"/>
        <v>50</v>
      </c>
      <c r="C37" s="11">
        <f t="shared" si="2"/>
        <v>533.15</v>
      </c>
      <c r="D37" s="14">
        <f t="shared" si="3"/>
        <v>784.02033157663095</v>
      </c>
      <c r="E37" s="15">
        <f t="shared" si="4"/>
        <v>2.5917736350432593E-2</v>
      </c>
      <c r="F37" s="13">
        <f t="shared" si="5"/>
        <v>1134.7741117665123</v>
      </c>
      <c r="G37" s="14">
        <f t="shared" si="6"/>
        <v>2.8838797851177898</v>
      </c>
      <c r="H37" s="15">
        <f t="shared" si="7"/>
        <v>4.9755166825251056</v>
      </c>
      <c r="I37" s="15">
        <f t="shared" si="8"/>
        <v>3.1245667223742277</v>
      </c>
      <c r="J37" s="15">
        <f t="shared" si="9"/>
        <v>-1</v>
      </c>
      <c r="K37" s="15">
        <f t="shared" si="10"/>
        <v>1107.6500648714471</v>
      </c>
      <c r="L37" s="35">
        <f t="shared" si="11"/>
        <v>1.0177069127235613E-4</v>
      </c>
      <c r="M37" s="14">
        <f t="shared" si="12"/>
        <v>0.60967237914660632</v>
      </c>
    </row>
    <row r="38" spans="1:13">
      <c r="A38" s="26">
        <f t="shared" ref="A38:A46" si="13">A37+10</f>
        <v>270</v>
      </c>
      <c r="B38" s="34">
        <f t="shared" ref="B38:B46" si="14">B37</f>
        <v>50</v>
      </c>
      <c r="C38" s="11">
        <f t="shared" ref="C38:C47" si="15">A38+$E$13</f>
        <v>543.15</v>
      </c>
      <c r="D38" s="14">
        <f t="shared" ref="D38:D46" si="16">densw(C38,B38)</f>
        <v>24.650266885133597</v>
      </c>
      <c r="E38" s="15">
        <f t="shared" ref="E38:E46" si="17">B38*100*$E$11/($E$12*C38)/D38</f>
        <v>0.80915625707361427</v>
      </c>
      <c r="F38" s="13">
        <f t="shared" si="5"/>
        <v>2819.8400986471825</v>
      </c>
      <c r="G38" s="14">
        <f t="shared" si="6"/>
        <v>6.0211295168040389</v>
      </c>
      <c r="H38" s="15">
        <f t="shared" si="7"/>
        <v>4.0460201517470864</v>
      </c>
      <c r="I38" s="15">
        <f t="shared" si="8"/>
        <v>2.4228971724139008</v>
      </c>
      <c r="J38" s="15">
        <f t="shared" ref="J38:J46" si="18">isentropic_coeffW(C38,B38)</f>
        <v>1.2666234848167757</v>
      </c>
      <c r="K38" s="15">
        <f t="shared" ref="K38:K46" si="19">spsoundW(C38,B38)</f>
        <v>506.87159882816121</v>
      </c>
      <c r="L38" s="35">
        <f t="shared" si="11"/>
        <v>1.8337051805131996E-5</v>
      </c>
      <c r="M38" s="14">
        <f t="shared" si="12"/>
        <v>5.4646541267063996E-2</v>
      </c>
    </row>
    <row r="39" spans="1:13">
      <c r="A39" s="26">
        <f t="shared" si="13"/>
        <v>280</v>
      </c>
      <c r="B39" s="34">
        <f t="shared" si="14"/>
        <v>50</v>
      </c>
      <c r="C39" s="11">
        <f t="shared" si="15"/>
        <v>553.15</v>
      </c>
      <c r="D39" s="14">
        <f t="shared" si="16"/>
        <v>23.654840257158934</v>
      </c>
      <c r="E39" s="15">
        <f t="shared" si="17"/>
        <v>0.82796288674437546</v>
      </c>
      <c r="F39" s="13">
        <f t="shared" si="5"/>
        <v>2858.0767696878579</v>
      </c>
      <c r="G39" s="14">
        <f t="shared" si="6"/>
        <v>6.0908986285936138</v>
      </c>
      <c r="H39" s="15">
        <f t="shared" si="7"/>
        <v>3.635012020693269</v>
      </c>
      <c r="I39" s="15">
        <f t="shared" si="8"/>
        <v>2.2516825855020359</v>
      </c>
      <c r="J39" s="15">
        <f t="shared" si="18"/>
        <v>1.2740355343393577</v>
      </c>
      <c r="K39" s="15">
        <f t="shared" si="19"/>
        <v>518.93834561639017</v>
      </c>
      <c r="L39" s="35">
        <f t="shared" si="11"/>
        <v>1.8832170578444089E-5</v>
      </c>
      <c r="M39" s="14">
        <f t="shared" si="12"/>
        <v>5.4087229109889258E-2</v>
      </c>
    </row>
    <row r="40" spans="1:13">
      <c r="A40" s="26">
        <f t="shared" si="13"/>
        <v>290</v>
      </c>
      <c r="B40" s="34">
        <f t="shared" si="14"/>
        <v>50</v>
      </c>
      <c r="C40" s="11">
        <f t="shared" si="15"/>
        <v>563.15</v>
      </c>
      <c r="D40" s="14">
        <f t="shared" si="16"/>
        <v>22.801802023769472</v>
      </c>
      <c r="E40" s="15">
        <f t="shared" si="17"/>
        <v>0.84368542646567335</v>
      </c>
      <c r="F40" s="13">
        <f t="shared" si="5"/>
        <v>2893.0023426251032</v>
      </c>
      <c r="G40" s="14">
        <f t="shared" si="6"/>
        <v>6.1534812789426594</v>
      </c>
      <c r="H40" s="15">
        <f t="shared" si="7"/>
        <v>3.3662215451979636</v>
      </c>
      <c r="I40" s="15">
        <f t="shared" si="8"/>
        <v>2.1414933354952259</v>
      </c>
      <c r="J40" s="15">
        <f t="shared" si="18"/>
        <v>1.2780338574251675</v>
      </c>
      <c r="K40" s="15">
        <f t="shared" si="19"/>
        <v>529.38495730141926</v>
      </c>
      <c r="L40" s="35">
        <f t="shared" si="11"/>
        <v>1.9319051646811227E-5</v>
      </c>
      <c r="M40" s="14">
        <f t="shared" si="12"/>
        <v>5.3849163308017145E-2</v>
      </c>
    </row>
    <row r="41" spans="1:13">
      <c r="A41" s="26">
        <f t="shared" si="13"/>
        <v>300</v>
      </c>
      <c r="B41" s="34">
        <f t="shared" si="14"/>
        <v>50</v>
      </c>
      <c r="C41" s="11">
        <f t="shared" si="15"/>
        <v>573.15</v>
      </c>
      <c r="D41" s="14">
        <f t="shared" si="16"/>
        <v>22.052356889777165</v>
      </c>
      <c r="E41" s="15">
        <f t="shared" si="17"/>
        <v>0.85713750241766795</v>
      </c>
      <c r="F41" s="13">
        <f t="shared" si="5"/>
        <v>2925.6440423554677</v>
      </c>
      <c r="G41" s="14">
        <f t="shared" si="6"/>
        <v>6.2109403902234739</v>
      </c>
      <c r="H41" s="15">
        <f t="shared" si="7"/>
        <v>3.171401229120721</v>
      </c>
      <c r="I41" s="15">
        <f t="shared" si="8"/>
        <v>2.0614994918808627</v>
      </c>
      <c r="J41" s="15">
        <f t="shared" si="18"/>
        <v>1.2805915680635072</v>
      </c>
      <c r="K41" s="15">
        <f t="shared" si="19"/>
        <v>538.84370665231882</v>
      </c>
      <c r="L41" s="35">
        <f t="shared" si="11"/>
        <v>1.9799188776747914E-5</v>
      </c>
      <c r="M41" s="14">
        <f t="shared" si="12"/>
        <v>5.3847566056220299E-2</v>
      </c>
    </row>
    <row r="42" spans="1:13">
      <c r="A42" s="26">
        <f t="shared" si="13"/>
        <v>310</v>
      </c>
      <c r="B42" s="34">
        <f t="shared" si="14"/>
        <v>50</v>
      </c>
      <c r="C42" s="11">
        <f t="shared" si="15"/>
        <v>583.15</v>
      </c>
      <c r="D42" s="14">
        <f t="shared" si="16"/>
        <v>21.382716326012787</v>
      </c>
      <c r="E42" s="15">
        <f t="shared" si="17"/>
        <v>0.86882168501402213</v>
      </c>
      <c r="F42" s="13">
        <f t="shared" si="5"/>
        <v>2956.5795445128442</v>
      </c>
      <c r="G42" s="14">
        <f t="shared" si="6"/>
        <v>6.2644531938719643</v>
      </c>
      <c r="H42" s="15">
        <f t="shared" si="7"/>
        <v>3.0217609676986754</v>
      </c>
      <c r="I42" s="15">
        <f t="shared" si="8"/>
        <v>1.999579131930912</v>
      </c>
      <c r="J42" s="15">
        <f t="shared" si="18"/>
        <v>1.2823909292832181</v>
      </c>
      <c r="K42" s="15">
        <f t="shared" si="19"/>
        <v>547.60043403772806</v>
      </c>
      <c r="L42" s="35">
        <f t="shared" si="11"/>
        <v>2.0273603422727053E-5</v>
      </c>
      <c r="M42" s="14">
        <f t="shared" si="12"/>
        <v>5.4029349506368105E-2</v>
      </c>
    </row>
    <row r="43" spans="1:13">
      <c r="A43" s="26">
        <f t="shared" si="13"/>
        <v>320</v>
      </c>
      <c r="B43" s="34">
        <f t="shared" si="14"/>
        <v>50</v>
      </c>
      <c r="C43" s="11">
        <f t="shared" si="15"/>
        <v>593.15</v>
      </c>
      <c r="D43" s="14">
        <f t="shared" si="16"/>
        <v>20.776873026269378</v>
      </c>
      <c r="E43" s="15">
        <f t="shared" si="17"/>
        <v>0.87908138945542069</v>
      </c>
      <c r="F43" s="13">
        <f t="shared" si="5"/>
        <v>2986.181044588262</v>
      </c>
      <c r="G43" s="14">
        <f t="shared" si="6"/>
        <v>6.3147871163511553</v>
      </c>
      <c r="H43" s="15">
        <f t="shared" si="7"/>
        <v>2.9028438708838267</v>
      </c>
      <c r="I43" s="15">
        <f t="shared" si="8"/>
        <v>1.9500564195918566</v>
      </c>
      <c r="J43" s="15">
        <f t="shared" si="18"/>
        <v>1.2836928996596462</v>
      </c>
      <c r="K43" s="15">
        <f t="shared" si="19"/>
        <v>555.80887712578658</v>
      </c>
      <c r="L43" s="35">
        <f t="shared" si="11"/>
        <v>2.0743044292318193E-5</v>
      </c>
      <c r="M43" s="14">
        <f t="shared" si="12"/>
        <v>5.4357967661787993E-2</v>
      </c>
    </row>
    <row r="44" spans="1:13">
      <c r="A44" s="26">
        <f t="shared" si="13"/>
        <v>330</v>
      </c>
      <c r="B44" s="34">
        <f t="shared" si="14"/>
        <v>50</v>
      </c>
      <c r="C44" s="11">
        <f t="shared" si="15"/>
        <v>603.15</v>
      </c>
      <c r="D44" s="14">
        <f t="shared" si="16"/>
        <v>20.223385228467794</v>
      </c>
      <c r="E44" s="15">
        <f t="shared" si="17"/>
        <v>0.88816697278056955</v>
      </c>
      <c r="F44" s="13">
        <f t="shared" si="5"/>
        <v>3014.7108091975028</v>
      </c>
      <c r="G44" s="14">
        <f t="shared" si="6"/>
        <v>6.3624871458794221</v>
      </c>
      <c r="H44" s="15">
        <f t="shared" si="7"/>
        <v>2.8063370578162674</v>
      </c>
      <c r="I44" s="15">
        <f t="shared" si="8"/>
        <v>1.9098029561804546</v>
      </c>
      <c r="J44" s="15">
        <f t="shared" si="18"/>
        <v>1.2846183636225565</v>
      </c>
      <c r="K44" s="15">
        <f t="shared" si="19"/>
        <v>563.56645888253013</v>
      </c>
      <c r="L44" s="35">
        <f t="shared" si="11"/>
        <v>2.1208083834090089E-5</v>
      </c>
      <c r="M44" s="14">
        <f t="shared" si="12"/>
        <v>5.4806791945918421E-2</v>
      </c>
    </row>
    <row r="45" spans="1:13">
      <c r="A45" s="26">
        <f t="shared" si="13"/>
        <v>340</v>
      </c>
      <c r="B45" s="34">
        <f t="shared" si="14"/>
        <v>50</v>
      </c>
      <c r="C45" s="11">
        <f t="shared" si="15"/>
        <v>613.15</v>
      </c>
      <c r="D45" s="14">
        <f t="shared" si="16"/>
        <v>19.713725334317996</v>
      </c>
      <c r="E45" s="15">
        <f t="shared" si="17"/>
        <v>0.89626899386648495</v>
      </c>
      <c r="F45" s="13">
        <f t="shared" si="5"/>
        <v>3042.3646186808892</v>
      </c>
      <c r="G45" s="14">
        <f t="shared" si="6"/>
        <v>6.4079619793846447</v>
      </c>
      <c r="H45" s="15">
        <f t="shared" si="7"/>
        <v>2.7269327091538926</v>
      </c>
      <c r="I45" s="15">
        <f t="shared" si="8"/>
        <v>1.8768367517367166</v>
      </c>
      <c r="J45" s="15">
        <f t="shared" si="18"/>
        <v>1.285238241416395</v>
      </c>
      <c r="K45" s="15">
        <f t="shared" si="19"/>
        <v>570.94262980213512</v>
      </c>
      <c r="L45" s="35">
        <f t="shared" si="11"/>
        <v>2.166917219380951E-5</v>
      </c>
      <c r="M45" s="14">
        <f t="shared" si="12"/>
        <v>5.5355673484522049E-2</v>
      </c>
    </row>
    <row r="46" spans="1:13">
      <c r="A46" s="26">
        <f t="shared" si="13"/>
        <v>350</v>
      </c>
      <c r="B46" s="34">
        <f t="shared" si="14"/>
        <v>50</v>
      </c>
      <c r="C46" s="11">
        <f t="shared" si="15"/>
        <v>623.15</v>
      </c>
      <c r="D46" s="14">
        <f t="shared" si="16"/>
        <v>19.241340847111768</v>
      </c>
      <c r="E46" s="15">
        <f t="shared" si="17"/>
        <v>0.90353685940539286</v>
      </c>
      <c r="F46" s="13">
        <f t="shared" si="5"/>
        <v>3069.2941748845669</v>
      </c>
      <c r="G46" s="14">
        <f t="shared" si="6"/>
        <v>6.4515291269283388</v>
      </c>
      <c r="H46" s="15">
        <f t="shared" si="7"/>
        <v>2.6609740496221312</v>
      </c>
      <c r="I46" s="15">
        <f t="shared" si="8"/>
        <v>1.8497675326708403</v>
      </c>
      <c r="J46" s="15">
        <f t="shared" si="18"/>
        <v>1.2856028867641978</v>
      </c>
      <c r="K46" s="15">
        <f t="shared" si="19"/>
        <v>577.99057305446593</v>
      </c>
      <c r="L46" s="35">
        <f t="shared" si="11"/>
        <v>2.2126670539876504E-5</v>
      </c>
      <c r="M46" s="14">
        <f t="shared" si="12"/>
        <v>5.5988956403135295E-2</v>
      </c>
    </row>
    <row r="47" spans="1:13">
      <c r="A47" s="26">
        <f>A21</f>
        <v>100</v>
      </c>
      <c r="B47" s="34">
        <f>B21+10</f>
        <v>60</v>
      </c>
      <c r="C47" s="11">
        <f t="shared" si="15"/>
        <v>373.15</v>
      </c>
      <c r="D47" s="14">
        <f t="shared" ref="D47" si="20">densw(C47,B47)</f>
        <v>961.09689638012765</v>
      </c>
      <c r="E47" s="15">
        <f t="shared" ref="E47" si="21">B47*100*$E$11/($E$12*C47)/D47</f>
        <v>3.6249701245116388E-2</v>
      </c>
      <c r="F47" s="13">
        <f t="shared" si="5"/>
        <v>423.53454517642899</v>
      </c>
      <c r="G47" s="14">
        <f t="shared" si="6"/>
        <v>1.3024298358913893</v>
      </c>
      <c r="H47" s="15">
        <f t="shared" si="7"/>
        <v>4.2032762108624233</v>
      </c>
      <c r="I47" s="15">
        <f t="shared" si="8"/>
        <v>3.7591062426863737</v>
      </c>
      <c r="J47" s="15">
        <f t="shared" ref="J47" si="22">isentropic_coeffW(C47,B47)</f>
        <v>-1</v>
      </c>
      <c r="K47" s="15">
        <f t="shared" ref="K47" si="23">spsoundW(C47,B47)</f>
        <v>1557.0935531204134</v>
      </c>
      <c r="L47" s="35">
        <f t="shared" si="11"/>
        <v>2.8332209951110489E-4</v>
      </c>
      <c r="M47" s="14">
        <f t="shared" si="12"/>
        <v>0.68231758830231948</v>
      </c>
    </row>
    <row r="48" spans="1:13">
      <c r="A48" s="26">
        <f t="shared" ref="A48:A111" si="24">A22</f>
        <v>110</v>
      </c>
      <c r="B48" s="34">
        <f t="shared" ref="B48:B111" si="25">B22+10</f>
        <v>60</v>
      </c>
      <c r="C48" s="11">
        <f t="shared" ref="C48:C111" si="26">A48+$E$13</f>
        <v>383.15</v>
      </c>
      <c r="D48" s="14">
        <f t="shared" ref="D48:D111" si="27">densw(C48,B48)</f>
        <v>953.75564626542177</v>
      </c>
      <c r="E48" s="15">
        <f t="shared" ref="E48:E111" si="28">B48*100*$E$11/($E$12*C48)/D48</f>
        <v>3.5575343367104738E-2</v>
      </c>
      <c r="F48" s="13">
        <f t="shared" si="5"/>
        <v>465.63164050881574</v>
      </c>
      <c r="G48" s="14">
        <f t="shared" si="6"/>
        <v>1.4137593554300529</v>
      </c>
      <c r="H48" s="15">
        <f t="shared" si="7"/>
        <v>4.2164851272959609</v>
      </c>
      <c r="I48" s="15">
        <f t="shared" si="8"/>
        <v>3.7097106121979011</v>
      </c>
      <c r="J48" s="15">
        <f t="shared" ref="J48:J111" si="29">isentropic_coeffW(C48,B48)</f>
        <v>-1</v>
      </c>
      <c r="K48" s="15">
        <f t="shared" ref="K48:K111" si="30">spsoundW(C48,B48)</f>
        <v>1546.964350021756</v>
      </c>
      <c r="L48" s="35">
        <f t="shared" si="11"/>
        <v>2.5625337070514319E-4</v>
      </c>
      <c r="M48" s="14">
        <f t="shared" si="12"/>
        <v>0.68501634910289411</v>
      </c>
    </row>
    <row r="49" spans="1:13">
      <c r="A49" s="26">
        <f t="shared" si="24"/>
        <v>120</v>
      </c>
      <c r="B49" s="34">
        <f t="shared" si="25"/>
        <v>60</v>
      </c>
      <c r="C49" s="11">
        <f t="shared" si="26"/>
        <v>393.15</v>
      </c>
      <c r="D49" s="14">
        <f t="shared" si="27"/>
        <v>945.98162206778102</v>
      </c>
      <c r="E49" s="15">
        <f t="shared" si="28"/>
        <v>3.4955383655669046E-2</v>
      </c>
      <c r="F49" s="13">
        <f t="shared" si="5"/>
        <v>507.871329143406</v>
      </c>
      <c r="G49" s="14">
        <f t="shared" si="6"/>
        <v>1.522587633325043</v>
      </c>
      <c r="H49" s="15">
        <f t="shared" si="7"/>
        <v>4.2318203863206412</v>
      </c>
      <c r="I49" s="15">
        <f t="shared" si="8"/>
        <v>3.6611372446554999</v>
      </c>
      <c r="J49" s="15">
        <f t="shared" si="29"/>
        <v>-1</v>
      </c>
      <c r="K49" s="15">
        <f t="shared" si="30"/>
        <v>1534.0859073788486</v>
      </c>
      <c r="L49" s="35">
        <f t="shared" si="11"/>
        <v>2.3357257874983021E-4</v>
      </c>
      <c r="M49" s="14">
        <f t="shared" si="12"/>
        <v>0.68661836834089951</v>
      </c>
    </row>
    <row r="50" spans="1:13">
      <c r="A50" s="26">
        <f t="shared" si="24"/>
        <v>130</v>
      </c>
      <c r="B50" s="34">
        <f t="shared" si="25"/>
        <v>60</v>
      </c>
      <c r="C50" s="11">
        <f t="shared" si="26"/>
        <v>403.15</v>
      </c>
      <c r="D50" s="14">
        <f t="shared" si="27"/>
        <v>937.78241751715757</v>
      </c>
      <c r="E50" s="15">
        <f t="shared" si="28"/>
        <v>3.4386367662486358E-2</v>
      </c>
      <c r="F50" s="13">
        <f t="shared" si="5"/>
        <v>550.27573920959242</v>
      </c>
      <c r="G50" s="14">
        <f t="shared" si="6"/>
        <v>1.6290959096021007</v>
      </c>
      <c r="H50" s="15">
        <f t="shared" si="7"/>
        <v>4.2494650755693488</v>
      </c>
      <c r="I50" s="15">
        <f t="shared" si="8"/>
        <v>3.613499896005707</v>
      </c>
      <c r="J50" s="15">
        <f t="shared" si="29"/>
        <v>-1</v>
      </c>
      <c r="K50" s="15">
        <f t="shared" si="30"/>
        <v>1518.6634415413332</v>
      </c>
      <c r="L50" s="35">
        <f t="shared" si="11"/>
        <v>2.1437679665831531E-4</v>
      </c>
      <c r="M50" s="14">
        <f t="shared" si="12"/>
        <v>0.68723147791831074</v>
      </c>
    </row>
    <row r="51" spans="1:13">
      <c r="A51" s="26">
        <f t="shared" si="24"/>
        <v>140</v>
      </c>
      <c r="B51" s="34">
        <f t="shared" si="25"/>
        <v>60</v>
      </c>
      <c r="C51" s="11">
        <f t="shared" si="26"/>
        <v>413.15</v>
      </c>
      <c r="D51" s="14">
        <f t="shared" si="27"/>
        <v>929.16033042675747</v>
      </c>
      <c r="E51" s="15">
        <f t="shared" si="28"/>
        <v>3.3865433213925433E-2</v>
      </c>
      <c r="F51" s="13">
        <f t="shared" si="5"/>
        <v>592.86914492283336</v>
      </c>
      <c r="G51" s="14">
        <f t="shared" si="6"/>
        <v>1.7334573557861204</v>
      </c>
      <c r="H51" s="15">
        <f t="shared" si="7"/>
        <v>4.2696663986082974</v>
      </c>
      <c r="I51" s="15">
        <f t="shared" si="8"/>
        <v>3.566888795652146</v>
      </c>
      <c r="J51" s="15">
        <f t="shared" si="29"/>
        <v>-1</v>
      </c>
      <c r="K51" s="15">
        <f t="shared" si="30"/>
        <v>1500.8540840921437</v>
      </c>
      <c r="L51" s="35">
        <f t="shared" si="11"/>
        <v>1.9798020528322445E-4</v>
      </c>
      <c r="M51" s="14">
        <f t="shared" si="12"/>
        <v>0.68693098947237297</v>
      </c>
    </row>
    <row r="52" spans="1:13">
      <c r="A52" s="26">
        <f t="shared" si="24"/>
        <v>150</v>
      </c>
      <c r="B52" s="34">
        <f t="shared" si="25"/>
        <v>60</v>
      </c>
      <c r="C52" s="11">
        <f t="shared" si="26"/>
        <v>423.15</v>
      </c>
      <c r="D52" s="14">
        <f t="shared" si="27"/>
        <v>920.11255251375724</v>
      </c>
      <c r="E52" s="15">
        <f t="shared" si="28"/>
        <v>3.3390256222359263E-2</v>
      </c>
      <c r="F52" s="13">
        <f t="shared" si="5"/>
        <v>635.67864051372715</v>
      </c>
      <c r="G52" s="14">
        <f t="shared" si="6"/>
        <v>1.8358394586865969</v>
      </c>
      <c r="H52" s="15">
        <f t="shared" si="7"/>
        <v>4.2927423404588234</v>
      </c>
      <c r="I52" s="15">
        <f t="shared" si="8"/>
        <v>3.521385591308221</v>
      </c>
      <c r="J52" s="15">
        <f t="shared" si="29"/>
        <v>-1</v>
      </c>
      <c r="K52" s="15">
        <f t="shared" si="30"/>
        <v>1480.7724431982308</v>
      </c>
      <c r="L52" s="35">
        <f t="shared" si="11"/>
        <v>1.8385398860914961E-4</v>
      </c>
      <c r="M52" s="14">
        <f t="shared" si="12"/>
        <v>0.68576441471867777</v>
      </c>
    </row>
    <row r="53" spans="1:13">
      <c r="A53" s="26">
        <f t="shared" si="24"/>
        <v>160</v>
      </c>
      <c r="B53" s="34">
        <f t="shared" si="25"/>
        <v>60</v>
      </c>
      <c r="C53" s="11">
        <f t="shared" si="26"/>
        <v>433.15</v>
      </c>
      <c r="D53" s="14">
        <f t="shared" si="27"/>
        <v>910.63116455289855</v>
      </c>
      <c r="E53" s="15">
        <f t="shared" si="28"/>
        <v>3.2959015039014168E-2</v>
      </c>
      <c r="F53" s="13">
        <f t="shared" si="5"/>
        <v>678.73488695579033</v>
      </c>
      <c r="G53" s="14">
        <f t="shared" si="6"/>
        <v>1.9364062957282269</v>
      </c>
      <c r="H53" s="15">
        <f t="shared" si="7"/>
        <v>4.3190898404517419</v>
      </c>
      <c r="I53" s="15">
        <f t="shared" si="8"/>
        <v>3.477073132460565</v>
      </c>
      <c r="J53" s="15">
        <f t="shared" si="29"/>
        <v>-1</v>
      </c>
      <c r="K53" s="15">
        <f t="shared" si="30"/>
        <v>1458.495951359082</v>
      </c>
      <c r="L53" s="35">
        <f t="shared" si="11"/>
        <v>1.7158485100270552E-4</v>
      </c>
      <c r="M53" s="14">
        <f t="shared" si="12"/>
        <v>0.68375629992659348</v>
      </c>
    </row>
    <row r="54" spans="1:13">
      <c r="A54" s="26">
        <f t="shared" si="24"/>
        <v>170</v>
      </c>
      <c r="B54" s="34">
        <f t="shared" si="25"/>
        <v>60</v>
      </c>
      <c r="C54" s="11">
        <f t="shared" si="26"/>
        <v>443.15</v>
      </c>
      <c r="D54" s="14">
        <f t="shared" si="27"/>
        <v>900.70293903866298</v>
      </c>
      <c r="E54" s="15">
        <f t="shared" si="28"/>
        <v>3.2570372003617301E-2</v>
      </c>
      <c r="F54" s="13">
        <f t="shared" si="5"/>
        <v>722.07295496884183</v>
      </c>
      <c r="G54" s="14">
        <f t="shared" si="6"/>
        <v>2.0353207702038194</v>
      </c>
      <c r="H54" s="15">
        <f t="shared" si="7"/>
        <v>4.3491961646339785</v>
      </c>
      <c r="I54" s="15">
        <f t="shared" si="8"/>
        <v>3.434041294898972</v>
      </c>
      <c r="J54" s="15">
        <f t="shared" si="29"/>
        <v>-1</v>
      </c>
      <c r="K54" s="15">
        <f t="shared" si="30"/>
        <v>1434.0700962816125</v>
      </c>
      <c r="L54" s="35">
        <f t="shared" si="11"/>
        <v>1.6084576026563109E-4</v>
      </c>
      <c r="M54" s="14">
        <f t="shared" si="12"/>
        <v>0.68091236619140316</v>
      </c>
    </row>
    <row r="55" spans="1:13">
      <c r="A55" s="26">
        <f t="shared" si="24"/>
        <v>180</v>
      </c>
      <c r="B55" s="34">
        <f t="shared" si="25"/>
        <v>60</v>
      </c>
      <c r="C55" s="11">
        <f t="shared" si="26"/>
        <v>453.15</v>
      </c>
      <c r="D55" s="14">
        <f t="shared" si="27"/>
        <v>890.30893493989004</v>
      </c>
      <c r="E55" s="15">
        <f t="shared" si="28"/>
        <v>3.2223472254965031E-2</v>
      </c>
      <c r="F55" s="13">
        <f t="shared" si="5"/>
        <v>765.73330545032661</v>
      </c>
      <c r="G55" s="14">
        <f t="shared" si="6"/>
        <v>2.1327469035889899</v>
      </c>
      <c r="H55" s="15">
        <f t="shared" si="7"/>
        <v>4.3836553653045698</v>
      </c>
      <c r="I55" s="15">
        <f t="shared" si="8"/>
        <v>3.3923897112114232</v>
      </c>
      <c r="J55" s="15">
        <f t="shared" si="29"/>
        <v>-1</v>
      </c>
      <c r="K55" s="15">
        <f t="shared" si="30"/>
        <v>1407.5135494660205</v>
      </c>
      <c r="L55" s="35">
        <f t="shared" si="11"/>
        <v>1.513749126415571E-4</v>
      </c>
      <c r="M55" s="14">
        <f t="shared" si="12"/>
        <v>0.67722253179963476</v>
      </c>
    </row>
    <row r="56" spans="1:13">
      <c r="A56" s="26">
        <f t="shared" si="24"/>
        <v>190</v>
      </c>
      <c r="B56" s="34">
        <f t="shared" si="25"/>
        <v>60</v>
      </c>
      <c r="C56" s="11">
        <f t="shared" si="26"/>
        <v>463.15</v>
      </c>
      <c r="D56" s="14">
        <f t="shared" si="27"/>
        <v>879.42384976284723</v>
      </c>
      <c r="E56" s="15">
        <f t="shared" si="28"/>
        <v>3.1917961359021578E-2</v>
      </c>
      <c r="F56" s="13">
        <f t="shared" si="5"/>
        <v>809.76296967953147</v>
      </c>
      <c r="G56" s="14">
        <f t="shared" si="6"/>
        <v>2.228852313461505</v>
      </c>
      <c r="H56" s="15">
        <f t="shared" si="7"/>
        <v>4.4231922480597419</v>
      </c>
      <c r="I56" s="15">
        <f t="shared" si="8"/>
        <v>3.3522280494069747</v>
      </c>
      <c r="J56" s="15">
        <f t="shared" si="29"/>
        <v>-1</v>
      </c>
      <c r="K56" s="15">
        <f t="shared" si="30"/>
        <v>1378.8230343387727</v>
      </c>
      <c r="L56" s="35">
        <f t="shared" si="11"/>
        <v>1.429603433943557E-4</v>
      </c>
      <c r="M56" s="14">
        <f t="shared" si="12"/>
        <v>0.67266264100221662</v>
      </c>
    </row>
    <row r="57" spans="1:13">
      <c r="A57" s="26">
        <f t="shared" si="24"/>
        <v>200</v>
      </c>
      <c r="B57" s="34">
        <f t="shared" si="25"/>
        <v>60</v>
      </c>
      <c r="C57" s="11">
        <f t="shared" si="26"/>
        <v>473.15</v>
      </c>
      <c r="D57" s="14">
        <f t="shared" si="27"/>
        <v>868.01506829508696</v>
      </c>
      <c r="E57" s="15">
        <f t="shared" si="28"/>
        <v>3.1654025188836983E-2</v>
      </c>
      <c r="F57" s="13">
        <f t="shared" si="5"/>
        <v>854.21702064236126</v>
      </c>
      <c r="G57" s="14">
        <f t="shared" si="6"/>
        <v>2.3238110482699152</v>
      </c>
      <c r="H57" s="15">
        <f t="shared" si="7"/>
        <v>4.4686973421627174</v>
      </c>
      <c r="I57" s="15">
        <f t="shared" si="8"/>
        <v>3.3136744592121796</v>
      </c>
      <c r="J57" s="15">
        <f t="shared" si="29"/>
        <v>-1</v>
      </c>
      <c r="K57" s="15">
        <f t="shared" si="30"/>
        <v>1347.9774116349411</v>
      </c>
      <c r="L57" s="35">
        <f t="shared" si="11"/>
        <v>1.3542848197182551E-4</v>
      </c>
      <c r="M57" s="14">
        <f t="shared" si="12"/>
        <v>0.66719487691840274</v>
      </c>
    </row>
    <row r="58" spans="1:13">
      <c r="A58" s="26">
        <f t="shared" si="24"/>
        <v>210</v>
      </c>
      <c r="B58" s="34">
        <f t="shared" si="25"/>
        <v>60</v>
      </c>
      <c r="C58" s="11">
        <f t="shared" si="26"/>
        <v>483.15</v>
      </c>
      <c r="D58" s="14">
        <f t="shared" si="27"/>
        <v>856.04130757198902</v>
      </c>
      <c r="E58" s="15">
        <f t="shared" si="28"/>
        <v>3.1432458210507386E-2</v>
      </c>
      <c r="F58" s="13">
        <f t="shared" si="5"/>
        <v>899.16047084967477</v>
      </c>
      <c r="G58" s="14">
        <f t="shared" si="6"/>
        <v>2.4178070171430948</v>
      </c>
      <c r="H58" s="15">
        <f t="shared" si="7"/>
        <v>4.5212783916993509</v>
      </c>
      <c r="I58" s="15">
        <f t="shared" si="8"/>
        <v>3.2768530840772647</v>
      </c>
      <c r="J58" s="15">
        <f t="shared" si="29"/>
        <v>-1</v>
      </c>
      <c r="K58" s="15">
        <f t="shared" si="30"/>
        <v>1314.9398145579319</v>
      </c>
      <c r="L58" s="35">
        <f t="shared" si="11"/>
        <v>1.2863549977139377E-4</v>
      </c>
      <c r="M58" s="14">
        <f t="shared" si="12"/>
        <v>0.66076693406214004</v>
      </c>
    </row>
    <row r="59" spans="1:13">
      <c r="A59" s="26">
        <f t="shared" si="24"/>
        <v>220</v>
      </c>
      <c r="B59" s="34">
        <f t="shared" si="25"/>
        <v>60</v>
      </c>
      <c r="C59" s="11">
        <f t="shared" si="26"/>
        <v>493.15</v>
      </c>
      <c r="D59" s="14">
        <f t="shared" si="27"/>
        <v>843.45069035547488</v>
      </c>
      <c r="E59" s="15">
        <f t="shared" si="28"/>
        <v>3.1254770690315188E-2</v>
      </c>
      <c r="F59" s="13">
        <f t="shared" si="5"/>
        <v>944.67080409497305</v>
      </c>
      <c r="G59" s="14">
        <f t="shared" si="6"/>
        <v>2.5110383663145508</v>
      </c>
      <c r="H59" s="15">
        <f t="shared" si="7"/>
        <v>4.5823376556307416</v>
      </c>
      <c r="I59" s="15">
        <f t="shared" si="8"/>
        <v>3.2418921703377275</v>
      </c>
      <c r="J59" s="15">
        <f t="shared" si="29"/>
        <v>-1</v>
      </c>
      <c r="K59" s="15">
        <f t="shared" si="30"/>
        <v>1279.6557566243102</v>
      </c>
      <c r="L59" s="35">
        <f t="shared" si="11"/>
        <v>1.2246064745776811E-4</v>
      </c>
      <c r="M59" s="14">
        <f t="shared" si="12"/>
        <v>0.65331010705734416</v>
      </c>
    </row>
    <row r="60" spans="1:13">
      <c r="A60" s="26">
        <f t="shared" si="24"/>
        <v>230</v>
      </c>
      <c r="B60" s="34">
        <f t="shared" si="25"/>
        <v>60</v>
      </c>
      <c r="C60" s="11">
        <f t="shared" si="26"/>
        <v>503.15</v>
      </c>
      <c r="D60" s="14">
        <f t="shared" si="27"/>
        <v>830.17796041653901</v>
      </c>
      <c r="E60" s="15">
        <f t="shared" si="28"/>
        <v>3.1123352809118928E-2</v>
      </c>
      <c r="F60" s="13">
        <f t="shared" si="5"/>
        <v>990.84147319732438</v>
      </c>
      <c r="G60" s="14">
        <f t="shared" si="6"/>
        <v>2.6037233542627654</v>
      </c>
      <c r="H60" s="15">
        <f t="shared" si="7"/>
        <v>4.6536913958345343</v>
      </c>
      <c r="I60" s="15">
        <f t="shared" si="8"/>
        <v>3.2089251806975421</v>
      </c>
      <c r="J60" s="15">
        <f t="shared" si="29"/>
        <v>-1</v>
      </c>
      <c r="K60" s="15">
        <f t="shared" si="30"/>
        <v>1242.0442172013979</v>
      </c>
      <c r="L60" s="35">
        <f t="shared" si="11"/>
        <v>1.1680099913351574E-4</v>
      </c>
      <c r="M60" s="14">
        <f t="shared" si="12"/>
        <v>0.6447365613264564</v>
      </c>
    </row>
    <row r="61" spans="1:13">
      <c r="A61" s="26">
        <f t="shared" si="24"/>
        <v>240</v>
      </c>
      <c r="B61" s="34">
        <f t="shared" si="25"/>
        <v>60</v>
      </c>
      <c r="C61" s="11">
        <f t="shared" si="26"/>
        <v>513.15</v>
      </c>
      <c r="D61" s="14">
        <f t="shared" si="27"/>
        <v>816.1403383850427</v>
      </c>
      <c r="E61" s="15">
        <f t="shared" si="28"/>
        <v>3.1041727021096838E-2</v>
      </c>
      <c r="F61" s="13">
        <f t="shared" si="5"/>
        <v>1037.7869197879206</v>
      </c>
      <c r="G61" s="14">
        <f t="shared" si="6"/>
        <v>2.6961086420926783</v>
      </c>
      <c r="H61" s="15">
        <f t="shared" si="7"/>
        <v>4.7377614329991298</v>
      </c>
      <c r="I61" s="15">
        <f t="shared" si="8"/>
        <v>3.1780982351912583</v>
      </c>
      <c r="J61" s="15">
        <f t="shared" si="29"/>
        <v>-1</v>
      </c>
      <c r="K61" s="15">
        <f t="shared" si="30"/>
        <v>1201.97820408184</v>
      </c>
      <c r="L61" s="35">
        <f t="shared" si="11"/>
        <v>1.1156715205375629E-4</v>
      </c>
      <c r="M61" s="14">
        <f t="shared" si="12"/>
        <v>0.63493624300859874</v>
      </c>
    </row>
    <row r="62" spans="1:13">
      <c r="A62" s="26">
        <f t="shared" si="24"/>
        <v>250</v>
      </c>
      <c r="B62" s="34">
        <f t="shared" si="25"/>
        <v>60</v>
      </c>
      <c r="C62" s="11">
        <f t="shared" si="26"/>
        <v>523.15</v>
      </c>
      <c r="D62" s="14">
        <f t="shared" si="27"/>
        <v>801.23112459162451</v>
      </c>
      <c r="E62" s="15">
        <f t="shared" si="28"/>
        <v>3.1014944705245857E-2</v>
      </c>
      <c r="F62" s="13">
        <f t="shared" si="5"/>
        <v>1085.650087796857</v>
      </c>
      <c r="G62" s="14">
        <f t="shared" si="6"/>
        <v>2.7884815932607725</v>
      </c>
      <c r="H62" s="15">
        <f t="shared" si="7"/>
        <v>4.8378950095831881</v>
      </c>
      <c r="I62" s="15">
        <f t="shared" si="8"/>
        <v>3.1495889393825869</v>
      </c>
      <c r="J62" s="15">
        <f t="shared" si="29"/>
        <v>-1</v>
      </c>
      <c r="K62" s="15">
        <f t="shared" si="30"/>
        <v>1159.2508980896878</v>
      </c>
      <c r="L62" s="35">
        <f t="shared" si="11"/>
        <v>1.0667949154411395E-4</v>
      </c>
      <c r="M62" s="14">
        <f t="shared" si="12"/>
        <v>0.62377420900357139</v>
      </c>
    </row>
    <row r="63" spans="1:13">
      <c r="A63" s="26">
        <f t="shared" si="24"/>
        <v>260</v>
      </c>
      <c r="B63" s="34">
        <f t="shared" si="25"/>
        <v>60</v>
      </c>
      <c r="C63" s="11">
        <f t="shared" si="26"/>
        <v>533.15</v>
      </c>
      <c r="D63" s="14">
        <f t="shared" si="27"/>
        <v>785.30940952003732</v>
      </c>
      <c r="E63" s="15">
        <f t="shared" si="28"/>
        <v>3.1050231158596699E-2</v>
      </c>
      <c r="F63" s="13">
        <f t="shared" si="5"/>
        <v>1134.6142024943588</v>
      </c>
      <c r="G63" s="14">
        <f t="shared" si="6"/>
        <v>2.8811894791851214</v>
      </c>
      <c r="H63" s="15">
        <f t="shared" si="7"/>
        <v>4.9589235813390093</v>
      </c>
      <c r="I63" s="15">
        <f t="shared" si="8"/>
        <v>3.1236484090266594</v>
      </c>
      <c r="J63" s="15">
        <f t="shared" si="29"/>
        <v>-1</v>
      </c>
      <c r="K63" s="15">
        <f t="shared" si="30"/>
        <v>1113.5205660349691</v>
      </c>
      <c r="L63" s="35">
        <f t="shared" si="11"/>
        <v>1.0206461861638001E-4</v>
      </c>
      <c r="M63" s="14">
        <f t="shared" si="12"/>
        <v>0.61108959149500408</v>
      </c>
    </row>
    <row r="64" spans="1:13">
      <c r="A64" s="26">
        <f t="shared" si="24"/>
        <v>270</v>
      </c>
      <c r="B64" s="34">
        <f t="shared" si="25"/>
        <v>60</v>
      </c>
      <c r="C64" s="11">
        <f t="shared" si="26"/>
        <v>543.15</v>
      </c>
      <c r="D64" s="14">
        <f t="shared" si="27"/>
        <v>768.18272792131108</v>
      </c>
      <c r="E64" s="15">
        <f t="shared" si="28"/>
        <v>3.115808303987307E-2</v>
      </c>
      <c r="F64" s="13">
        <f t="shared" si="5"/>
        <v>1184.922217382725</v>
      </c>
      <c r="G64" s="14">
        <f t="shared" si="6"/>
        <v>2.974671137208118</v>
      </c>
      <c r="H64" s="15">
        <f t="shared" si="7"/>
        <v>5.1081929145786349</v>
      </c>
      <c r="I64" s="15">
        <f t="shared" si="8"/>
        <v>3.1006932070658633</v>
      </c>
      <c r="J64" s="15">
        <f t="shared" si="29"/>
        <v>-1</v>
      </c>
      <c r="K64" s="15">
        <f t="shared" si="30"/>
        <v>1064.2211270406071</v>
      </c>
      <c r="L64" s="35">
        <f t="shared" si="11"/>
        <v>9.7651412458252547E-5</v>
      </c>
      <c r="M64" s="14">
        <f t="shared" si="12"/>
        <v>0.596697664680087</v>
      </c>
    </row>
    <row r="65" spans="1:13">
      <c r="A65" s="26">
        <f t="shared" si="24"/>
        <v>280</v>
      </c>
      <c r="B65" s="34">
        <f t="shared" si="25"/>
        <v>60</v>
      </c>
      <c r="C65" s="11">
        <f t="shared" si="26"/>
        <v>553.15</v>
      </c>
      <c r="D65" s="14">
        <f t="shared" si="27"/>
        <v>30.120699029851789</v>
      </c>
      <c r="E65" s="15">
        <f t="shared" si="28"/>
        <v>0.78027391616843556</v>
      </c>
      <c r="F65" s="13">
        <f t="shared" si="5"/>
        <v>2805.2469918155734</v>
      </c>
      <c r="G65" s="14">
        <f t="shared" si="6"/>
        <v>5.9276153099710731</v>
      </c>
      <c r="H65" s="15">
        <f t="shared" si="7"/>
        <v>4.5159867009658354</v>
      </c>
      <c r="I65" s="15">
        <f t="shared" si="8"/>
        <v>2.5640785867233626</v>
      </c>
      <c r="J65" s="15">
        <f t="shared" si="29"/>
        <v>1.2604142666631897</v>
      </c>
      <c r="K65" s="15">
        <f t="shared" si="30"/>
        <v>501.07156399026667</v>
      </c>
      <c r="L65" s="35">
        <f t="shared" si="11"/>
        <v>1.8734907947473455E-5</v>
      </c>
      <c r="M65" s="14">
        <f t="shared" si="12"/>
        <v>5.8400523413108169E-2</v>
      </c>
    </row>
    <row r="66" spans="1:13">
      <c r="A66" s="26">
        <f t="shared" si="24"/>
        <v>290</v>
      </c>
      <c r="B66" s="34">
        <f t="shared" si="25"/>
        <v>60</v>
      </c>
      <c r="C66" s="11">
        <f t="shared" si="26"/>
        <v>563.15</v>
      </c>
      <c r="D66" s="14">
        <f t="shared" si="27"/>
        <v>28.766131326345864</v>
      </c>
      <c r="E66" s="15">
        <f t="shared" si="28"/>
        <v>0.80250824887213768</v>
      </c>
      <c r="F66" s="13">
        <f t="shared" si="5"/>
        <v>2847.5027383497763</v>
      </c>
      <c r="G66" s="14">
        <f t="shared" si="6"/>
        <v>6.003338324142641</v>
      </c>
      <c r="H66" s="15">
        <f t="shared" si="7"/>
        <v>3.9812239022177685</v>
      </c>
      <c r="I66" s="15">
        <f t="shared" si="8"/>
        <v>2.3621861313469465</v>
      </c>
      <c r="J66" s="15">
        <f t="shared" si="29"/>
        <v>1.2694268895730352</v>
      </c>
      <c r="K66" s="15">
        <f t="shared" si="30"/>
        <v>514.5632224815746</v>
      </c>
      <c r="L66" s="35">
        <f t="shared" si="11"/>
        <v>1.9237307172853494E-5</v>
      </c>
      <c r="M66" s="14">
        <f t="shared" si="12"/>
        <v>5.7476202605798755E-2</v>
      </c>
    </row>
    <row r="67" spans="1:13">
      <c r="A67" s="26">
        <f t="shared" si="24"/>
        <v>300</v>
      </c>
      <c r="B67" s="34">
        <f t="shared" si="25"/>
        <v>60</v>
      </c>
      <c r="C67" s="11">
        <f t="shared" si="26"/>
        <v>573.15</v>
      </c>
      <c r="D67" s="14">
        <f t="shared" si="27"/>
        <v>27.63107649743662</v>
      </c>
      <c r="E67" s="15">
        <f t="shared" si="28"/>
        <v>0.82089753290706047</v>
      </c>
      <c r="F67" s="13">
        <f t="shared" si="5"/>
        <v>2885.4904577413422</v>
      </c>
      <c r="G67" s="14">
        <f t="shared" si="6"/>
        <v>6.0702110147942268</v>
      </c>
      <c r="H67" s="15">
        <f t="shared" si="7"/>
        <v>3.6377832467031164</v>
      </c>
      <c r="I67" s="15">
        <f t="shared" si="8"/>
        <v>2.2325527737625266</v>
      </c>
      <c r="J67" s="15">
        <f t="shared" si="29"/>
        <v>1.2743122024038747</v>
      </c>
      <c r="K67" s="15">
        <f t="shared" si="30"/>
        <v>526.03500286667577</v>
      </c>
      <c r="L67" s="35">
        <f t="shared" si="11"/>
        <v>1.9730545118036359E-5</v>
      </c>
      <c r="M67" s="14">
        <f t="shared" si="12"/>
        <v>5.698034635109106E-2</v>
      </c>
    </row>
    <row r="68" spans="1:13">
      <c r="A68" s="26">
        <f t="shared" si="24"/>
        <v>310</v>
      </c>
      <c r="B68" s="34">
        <f t="shared" si="25"/>
        <v>60</v>
      </c>
      <c r="C68" s="11">
        <f t="shared" si="26"/>
        <v>583.15</v>
      </c>
      <c r="D68" s="14">
        <f t="shared" si="27"/>
        <v>26.650332423852173</v>
      </c>
      <c r="E68" s="15">
        <f t="shared" si="28"/>
        <v>0.83651193537455837</v>
      </c>
      <c r="F68" s="13">
        <f t="shared" si="5"/>
        <v>2920.5820106371584</v>
      </c>
      <c r="G68" s="14">
        <f t="shared" si="6"/>
        <v>6.1309148976315768</v>
      </c>
      <c r="H68" s="15">
        <f t="shared" si="7"/>
        <v>3.392883103367538</v>
      </c>
      <c r="I68" s="15">
        <f t="shared" si="8"/>
        <v>2.1387855314009019</v>
      </c>
      <c r="J68" s="15">
        <f t="shared" si="29"/>
        <v>1.2774667665051054</v>
      </c>
      <c r="K68" s="15">
        <f t="shared" si="30"/>
        <v>536.2892792743869</v>
      </c>
      <c r="L68" s="35">
        <f t="shared" si="11"/>
        <v>2.0216314533978884E-5</v>
      </c>
      <c r="M68" s="14">
        <f t="shared" si="12"/>
        <v>5.6785583451648101E-2</v>
      </c>
    </row>
    <row r="69" spans="1:13">
      <c r="A69" s="26">
        <f t="shared" si="24"/>
        <v>320</v>
      </c>
      <c r="B69" s="34">
        <f t="shared" si="25"/>
        <v>60</v>
      </c>
      <c r="C69" s="11">
        <f t="shared" si="26"/>
        <v>593.15</v>
      </c>
      <c r="D69" s="14">
        <f t="shared" si="27"/>
        <v>25.785209000988424</v>
      </c>
      <c r="E69" s="15">
        <f t="shared" si="28"/>
        <v>0.85000183203191881</v>
      </c>
      <c r="F69" s="13">
        <f t="shared" si="5"/>
        <v>2953.545596744008</v>
      </c>
      <c r="G69" s="14">
        <f t="shared" si="6"/>
        <v>6.1869669231620295</v>
      </c>
      <c r="H69" s="15">
        <f t="shared" si="7"/>
        <v>3.2077888202316673</v>
      </c>
      <c r="I69" s="15">
        <f t="shared" si="8"/>
        <v>2.0667372672135973</v>
      </c>
      <c r="J69" s="15">
        <f t="shared" si="29"/>
        <v>1.2797033570965977</v>
      </c>
      <c r="K69" s="15">
        <f t="shared" si="30"/>
        <v>545.68868901581061</v>
      </c>
      <c r="L69" s="35">
        <f t="shared" si="11"/>
        <v>2.0695762553320727E-5</v>
      </c>
      <c r="M69" s="14">
        <f t="shared" si="12"/>
        <v>5.6817093610393832E-2</v>
      </c>
    </row>
    <row r="70" spans="1:13">
      <c r="A70" s="26">
        <f t="shared" si="24"/>
        <v>330</v>
      </c>
      <c r="B70" s="34">
        <f t="shared" si="25"/>
        <v>60</v>
      </c>
      <c r="C70" s="11">
        <f t="shared" si="26"/>
        <v>603.15</v>
      </c>
      <c r="D70" s="14">
        <f t="shared" si="27"/>
        <v>25.010457541241284</v>
      </c>
      <c r="E70" s="15">
        <f t="shared" si="28"/>
        <v>0.86180316252712963</v>
      </c>
      <c r="F70" s="13">
        <f t="shared" si="5"/>
        <v>2984.8699680265227</v>
      </c>
      <c r="G70" s="14">
        <f t="shared" si="6"/>
        <v>6.2393402764850077</v>
      </c>
      <c r="H70" s="15">
        <f t="shared" si="7"/>
        <v>3.0626099463658711</v>
      </c>
      <c r="I70" s="15">
        <f t="shared" si="8"/>
        <v>2.0094780580123999</v>
      </c>
      <c r="J70" s="15">
        <f t="shared" si="29"/>
        <v>1.2813421712188933</v>
      </c>
      <c r="K70" s="15">
        <f t="shared" si="30"/>
        <v>554.43082333917175</v>
      </c>
      <c r="L70" s="35">
        <f t="shared" si="11"/>
        <v>2.1169723796750291E-5</v>
      </c>
      <c r="M70" s="14">
        <f t="shared" si="12"/>
        <v>5.7025491269767505E-2</v>
      </c>
    </row>
    <row r="71" spans="1:13">
      <c r="A71" s="26">
        <f t="shared" si="24"/>
        <v>340</v>
      </c>
      <c r="B71" s="34">
        <f t="shared" si="25"/>
        <v>60</v>
      </c>
      <c r="C71" s="11">
        <f t="shared" si="26"/>
        <v>613.15</v>
      </c>
      <c r="D71" s="14">
        <f t="shared" si="27"/>
        <v>24.30853793850634</v>
      </c>
      <c r="E71" s="15">
        <f t="shared" si="28"/>
        <v>0.87222690967822636</v>
      </c>
      <c r="F71" s="13">
        <f t="shared" si="5"/>
        <v>3014.8922060211153</v>
      </c>
      <c r="G71" s="14">
        <f t="shared" si="6"/>
        <v>6.2887105182535397</v>
      </c>
      <c r="H71" s="15">
        <f t="shared" si="7"/>
        <v>2.9458886131515203</v>
      </c>
      <c r="I71" s="15">
        <f t="shared" si="8"/>
        <v>1.9630948008579179</v>
      </c>
      <c r="J71" s="15">
        <f t="shared" si="29"/>
        <v>1.282535991490442</v>
      </c>
      <c r="K71" s="15">
        <f t="shared" si="30"/>
        <v>562.64049520005483</v>
      </c>
      <c r="L71" s="35">
        <f t="shared" si="11"/>
        <v>2.1638833140614009E-5</v>
      </c>
      <c r="M71" s="14">
        <f t="shared" si="12"/>
        <v>5.7376033119608309E-2</v>
      </c>
    </row>
    <row r="72" spans="1:13">
      <c r="A72" s="26">
        <f t="shared" si="24"/>
        <v>350</v>
      </c>
      <c r="B72" s="34">
        <f t="shared" si="25"/>
        <v>60</v>
      </c>
      <c r="C72" s="11">
        <f t="shared" si="26"/>
        <v>623.15</v>
      </c>
      <c r="D72" s="14">
        <f t="shared" si="27"/>
        <v>23.666692699796155</v>
      </c>
      <c r="E72" s="15">
        <f t="shared" si="28"/>
        <v>0.88150520566303614</v>
      </c>
      <c r="F72" s="13">
        <f t="shared" si="5"/>
        <v>3043.85837984715</v>
      </c>
      <c r="G72" s="14">
        <f t="shared" si="6"/>
        <v>6.3355730783347575</v>
      </c>
      <c r="H72" s="15">
        <f t="shared" si="7"/>
        <v>2.8504344700935378</v>
      </c>
      <c r="I72" s="15">
        <f t="shared" si="8"/>
        <v>1.9251223461602887</v>
      </c>
      <c r="J72" s="15">
        <f t="shared" si="29"/>
        <v>1.2833746621630988</v>
      </c>
      <c r="K72" s="15">
        <f t="shared" si="30"/>
        <v>570.40532300452173</v>
      </c>
      <c r="L72" s="35">
        <f t="shared" si="11"/>
        <v>2.2103588620194929E-5</v>
      </c>
      <c r="M72" s="14">
        <f t="shared" si="12"/>
        <v>5.7843185772354026E-2</v>
      </c>
    </row>
    <row r="73" spans="1:13">
      <c r="A73" s="26">
        <f t="shared" si="24"/>
        <v>100</v>
      </c>
      <c r="B73" s="34">
        <f t="shared" si="25"/>
        <v>70</v>
      </c>
      <c r="C73" s="11">
        <f t="shared" si="26"/>
        <v>373.15</v>
      </c>
      <c r="D73" s="14">
        <f t="shared" si="27"/>
        <v>961.55744952184227</v>
      </c>
      <c r="E73" s="15">
        <f t="shared" si="28"/>
        <v>4.2271062023905577E-2</v>
      </c>
      <c r="F73" s="13">
        <f t="shared" si="5"/>
        <v>424.28750023000794</v>
      </c>
      <c r="G73" s="14">
        <f t="shared" si="6"/>
        <v>1.3016599754259002</v>
      </c>
      <c r="H73" s="15">
        <f t="shared" si="7"/>
        <v>4.2010567578343441</v>
      </c>
      <c r="I73" s="15">
        <f t="shared" si="8"/>
        <v>3.7576600029605669</v>
      </c>
      <c r="J73" s="15">
        <f t="shared" si="29"/>
        <v>-1</v>
      </c>
      <c r="K73" s="15">
        <f t="shared" si="30"/>
        <v>1559.1125948470781</v>
      </c>
      <c r="L73" s="35">
        <f t="shared" si="11"/>
        <v>2.8358940848428725E-4</v>
      </c>
      <c r="M73" s="14">
        <f t="shared" si="12"/>
        <v>0.68286275108914052</v>
      </c>
    </row>
    <row r="74" spans="1:13">
      <c r="A74" s="26">
        <f t="shared" si="24"/>
        <v>110</v>
      </c>
      <c r="B74" s="34">
        <f t="shared" si="25"/>
        <v>70</v>
      </c>
      <c r="C74" s="11">
        <f t="shared" si="26"/>
        <v>383.15</v>
      </c>
      <c r="D74" s="14">
        <f t="shared" si="27"/>
        <v>954.22990144651055</v>
      </c>
      <c r="E74" s="15">
        <f t="shared" si="28"/>
        <v>4.148393936468369E-2</v>
      </c>
      <c r="F74" s="13">
        <f t="shared" si="5"/>
        <v>466.36193384588347</v>
      </c>
      <c r="G74" s="14">
        <f t="shared" si="6"/>
        <v>1.4129295693769472</v>
      </c>
      <c r="H74" s="15">
        <f t="shared" si="7"/>
        <v>4.2141668713562694</v>
      </c>
      <c r="I74" s="15">
        <f t="shared" si="8"/>
        <v>3.7084063581213909</v>
      </c>
      <c r="J74" s="15">
        <f t="shared" si="29"/>
        <v>-1</v>
      </c>
      <c r="K74" s="15">
        <f t="shared" si="30"/>
        <v>1549.0832132451985</v>
      </c>
      <c r="L74" s="35">
        <f t="shared" si="11"/>
        <v>2.5651832453174074E-4</v>
      </c>
      <c r="M74" s="14">
        <f t="shared" si="12"/>
        <v>0.68558317234040678</v>
      </c>
    </row>
    <row r="75" spans="1:13">
      <c r="A75" s="26">
        <f t="shared" si="24"/>
        <v>120</v>
      </c>
      <c r="B75" s="34">
        <f t="shared" si="25"/>
        <v>70</v>
      </c>
      <c r="C75" s="11">
        <f t="shared" si="26"/>
        <v>393.15</v>
      </c>
      <c r="D75" s="14">
        <f t="shared" si="27"/>
        <v>946.47199353157725</v>
      </c>
      <c r="E75" s="15">
        <f t="shared" si="28"/>
        <v>4.0760151963654359E-2</v>
      </c>
      <c r="F75" s="13">
        <f t="shared" si="5"/>
        <v>508.57780834159757</v>
      </c>
      <c r="G75" s="14">
        <f t="shared" si="6"/>
        <v>1.5216964982517047</v>
      </c>
      <c r="H75" s="15">
        <f t="shared" si="7"/>
        <v>4.2293700610869118</v>
      </c>
      <c r="I75" s="15">
        <f t="shared" si="8"/>
        <v>3.6599567841538452</v>
      </c>
      <c r="J75" s="15">
        <f t="shared" si="29"/>
        <v>-1</v>
      </c>
      <c r="K75" s="15">
        <f t="shared" si="30"/>
        <v>1536.3146628700003</v>
      </c>
      <c r="L75" s="35">
        <f t="shared" si="11"/>
        <v>2.3383413014448434E-4</v>
      </c>
      <c r="M75" s="14">
        <f t="shared" si="12"/>
        <v>0.68720858700196408</v>
      </c>
    </row>
    <row r="76" spans="1:13">
      <c r="A76" s="26">
        <f t="shared" si="24"/>
        <v>130</v>
      </c>
      <c r="B76" s="34">
        <f t="shared" si="25"/>
        <v>70</v>
      </c>
      <c r="C76" s="11">
        <f t="shared" si="26"/>
        <v>403.15</v>
      </c>
      <c r="D76" s="14">
        <f t="shared" si="27"/>
        <v>938.29144571959239</v>
      </c>
      <c r="E76" s="15">
        <f t="shared" si="28"/>
        <v>4.0095665016606614E-2</v>
      </c>
      <c r="F76" s="13">
        <f t="shared" si="5"/>
        <v>550.95690524699035</v>
      </c>
      <c r="G76" s="14">
        <f t="shared" si="6"/>
        <v>1.6281412030864251</v>
      </c>
      <c r="H76" s="15">
        <f t="shared" si="7"/>
        <v>4.2468463938653276</v>
      </c>
      <c r="I76" s="15">
        <f t="shared" si="8"/>
        <v>3.6124263326117716</v>
      </c>
      <c r="J76" s="15">
        <f t="shared" si="29"/>
        <v>-1</v>
      </c>
      <c r="K76" s="15">
        <f t="shared" si="30"/>
        <v>1521.013156748249</v>
      </c>
      <c r="L76" s="35">
        <f t="shared" si="11"/>
        <v>2.1463460811493564E-4</v>
      </c>
      <c r="M76" s="14">
        <f t="shared" si="12"/>
        <v>0.68784686414567953</v>
      </c>
    </row>
    <row r="77" spans="1:13">
      <c r="A77" s="26">
        <f t="shared" si="24"/>
        <v>140</v>
      </c>
      <c r="B77" s="34">
        <f t="shared" si="25"/>
        <v>70</v>
      </c>
      <c r="C77" s="11">
        <f t="shared" si="26"/>
        <v>413.15</v>
      </c>
      <c r="D77" s="14">
        <f t="shared" si="27"/>
        <v>929.69075646448277</v>
      </c>
      <c r="E77" s="15">
        <f t="shared" si="28"/>
        <v>3.9487130222978346E-2</v>
      </c>
      <c r="F77" s="13">
        <f t="shared" si="5"/>
        <v>593.52311472516101</v>
      </c>
      <c r="G77" s="14">
        <f t="shared" si="6"/>
        <v>1.7324360234515375</v>
      </c>
      <c r="H77" s="15">
        <f t="shared" si="7"/>
        <v>4.2668385751622795</v>
      </c>
      <c r="I77" s="15">
        <f t="shared" si="8"/>
        <v>3.5659063818891772</v>
      </c>
      <c r="J77" s="15">
        <f t="shared" si="29"/>
        <v>-1</v>
      </c>
      <c r="K77" s="15">
        <f t="shared" si="30"/>
        <v>1503.3370675262431</v>
      </c>
      <c r="L77" s="35">
        <f t="shared" si="11"/>
        <v>1.982343874155241E-4</v>
      </c>
      <c r="M77" s="14">
        <f t="shared" si="12"/>
        <v>0.68757339519333871</v>
      </c>
    </row>
    <row r="78" spans="1:13">
      <c r="A78" s="26">
        <f t="shared" si="24"/>
        <v>150</v>
      </c>
      <c r="B78" s="34">
        <f t="shared" si="25"/>
        <v>70</v>
      </c>
      <c r="C78" s="11">
        <f t="shared" si="26"/>
        <v>423.15</v>
      </c>
      <c r="D78" s="14">
        <f t="shared" si="27"/>
        <v>920.66739915168819</v>
      </c>
      <c r="E78" s="15">
        <f t="shared" si="28"/>
        <v>3.89318222431288E-2</v>
      </c>
      <c r="F78" s="13">
        <f t="shared" si="5"/>
        <v>636.30309363522633</v>
      </c>
      <c r="G78" s="14">
        <f t="shared" si="6"/>
        <v>1.8347475464498513</v>
      </c>
      <c r="H78" s="15">
        <f t="shared" si="7"/>
        <v>4.2896583711176737</v>
      </c>
      <c r="I78" s="15">
        <f t="shared" si="8"/>
        <v>3.5204795410523442</v>
      </c>
      <c r="J78" s="15">
        <f t="shared" si="29"/>
        <v>-1</v>
      </c>
      <c r="K78" s="15">
        <f t="shared" si="30"/>
        <v>1483.4024245917251</v>
      </c>
      <c r="L78" s="35">
        <f t="shared" si="11"/>
        <v>1.8410494462024098E-4</v>
      </c>
      <c r="M78" s="14">
        <f t="shared" si="12"/>
        <v>0.68643584623519804</v>
      </c>
    </row>
    <row r="79" spans="1:13">
      <c r="A79" s="26">
        <f t="shared" si="24"/>
        <v>160</v>
      </c>
      <c r="B79" s="34">
        <f t="shared" si="25"/>
        <v>70</v>
      </c>
      <c r="C79" s="11">
        <f t="shared" si="26"/>
        <v>433.15</v>
      </c>
      <c r="D79" s="14">
        <f t="shared" si="27"/>
        <v>911.21382866805391</v>
      </c>
      <c r="E79" s="15">
        <f t="shared" si="28"/>
        <v>3.8427596451127664E-2</v>
      </c>
      <c r="F79" s="13">
        <f t="shared" si="5"/>
        <v>679.32699317624599</v>
      </c>
      <c r="G79" s="14">
        <f t="shared" si="6"/>
        <v>1.9352388438142005</v>
      </c>
      <c r="H79" s="15">
        <f t="shared" si="7"/>
        <v>4.3156943766232114</v>
      </c>
      <c r="I79" s="15">
        <f t="shared" si="8"/>
        <v>3.4762294271368384</v>
      </c>
      <c r="J79" s="15">
        <f t="shared" si="29"/>
        <v>-1</v>
      </c>
      <c r="K79" s="15">
        <f t="shared" si="30"/>
        <v>1461.2881963823406</v>
      </c>
      <c r="L79" s="35">
        <f t="shared" si="11"/>
        <v>1.7183318575678762E-4</v>
      </c>
      <c r="M79" s="14">
        <f t="shared" si="12"/>
        <v>0.68445903115280216</v>
      </c>
    </row>
    <row r="80" spans="1:13">
      <c r="A80" s="26">
        <f t="shared" si="24"/>
        <v>170</v>
      </c>
      <c r="B80" s="34">
        <f t="shared" si="25"/>
        <v>70</v>
      </c>
      <c r="C80" s="11">
        <f t="shared" si="26"/>
        <v>443.15</v>
      </c>
      <c r="D80" s="14">
        <f t="shared" si="27"/>
        <v>901.31730118352414</v>
      </c>
      <c r="E80" s="15">
        <f t="shared" si="28"/>
        <v>3.7972866354433671E-2</v>
      </c>
      <c r="F80" s="13">
        <f t="shared" si="5"/>
        <v>722.62927778364872</v>
      </c>
      <c r="G80" s="14">
        <f t="shared" si="6"/>
        <v>2.0340716618334898</v>
      </c>
      <c r="H80" s="15">
        <f t="shared" si="7"/>
        <v>4.3454227778550107</v>
      </c>
      <c r="I80" s="15">
        <f t="shared" si="8"/>
        <v>3.433246522819295</v>
      </c>
      <c r="J80" s="15">
        <f t="shared" si="29"/>
        <v>-1</v>
      </c>
      <c r="K80" s="15">
        <f t="shared" si="30"/>
        <v>1437.0414530410965</v>
      </c>
      <c r="L80" s="35">
        <f t="shared" si="11"/>
        <v>1.6109222996242114E-4</v>
      </c>
      <c r="M80" s="14">
        <f t="shared" si="12"/>
        <v>0.68164909632749027</v>
      </c>
    </row>
    <row r="81" spans="1:13">
      <c r="A81" s="26">
        <f t="shared" si="24"/>
        <v>180</v>
      </c>
      <c r="B81" s="34">
        <f t="shared" si="25"/>
        <v>70</v>
      </c>
      <c r="C81" s="11">
        <f t="shared" si="26"/>
        <v>453.15</v>
      </c>
      <c r="D81" s="14">
        <f t="shared" si="27"/>
        <v>890.95949333015119</v>
      </c>
      <c r="E81" s="15">
        <f t="shared" si="28"/>
        <v>3.7566600641791674E-2</v>
      </c>
      <c r="F81" s="13">
        <f t="shared" si="5"/>
        <v>766.24967400985099</v>
      </c>
      <c r="G81" s="14">
        <f t="shared" si="6"/>
        <v>2.1314086567971713</v>
      </c>
      <c r="H81" s="15">
        <f t="shared" si="7"/>
        <v>4.379422915334076</v>
      </c>
      <c r="I81" s="15">
        <f t="shared" si="8"/>
        <v>3.3916309802837694</v>
      </c>
      <c r="J81" s="15">
        <f t="shared" si="29"/>
        <v>-1</v>
      </c>
      <c r="K81" s="15">
        <f t="shared" si="30"/>
        <v>1410.6824339542675</v>
      </c>
      <c r="L81" s="35">
        <f t="shared" si="11"/>
        <v>1.5162040118237599E-4</v>
      </c>
      <c r="M81" s="14">
        <f t="shared" si="12"/>
        <v>0.67799659413282432</v>
      </c>
    </row>
    <row r="82" spans="1:13">
      <c r="A82" s="26">
        <f t="shared" si="24"/>
        <v>190</v>
      </c>
      <c r="B82" s="34">
        <f t="shared" si="25"/>
        <v>70</v>
      </c>
      <c r="C82" s="11">
        <f t="shared" si="26"/>
        <v>463.15</v>
      </c>
      <c r="D82" s="14">
        <f t="shared" si="27"/>
        <v>880.11588867510807</v>
      </c>
      <c r="E82" s="15">
        <f t="shared" si="28"/>
        <v>3.720834148336042E-2</v>
      </c>
      <c r="F82" s="13">
        <f t="shared" si="5"/>
        <v>810.23430822697458</v>
      </c>
      <c r="G82" s="14">
        <f t="shared" si="6"/>
        <v>2.2274157983620584</v>
      </c>
      <c r="H82" s="15">
        <f t="shared" si="7"/>
        <v>4.4183999269412961</v>
      </c>
      <c r="I82" s="15">
        <f t="shared" si="8"/>
        <v>3.3514930032716501</v>
      </c>
      <c r="J82" s="15">
        <f t="shared" si="29"/>
        <v>-1</v>
      </c>
      <c r="K82" s="15">
        <f t="shared" si="30"/>
        <v>1382.2093955626963</v>
      </c>
      <c r="L82" s="35">
        <f t="shared" si="11"/>
        <v>1.4320585762277475E-4</v>
      </c>
      <c r="M82" s="14">
        <f t="shared" si="12"/>
        <v>0.67347827193525656</v>
      </c>
    </row>
    <row r="83" spans="1:13">
      <c r="A83" s="26">
        <f t="shared" si="24"/>
        <v>200</v>
      </c>
      <c r="B83" s="34">
        <f t="shared" si="25"/>
        <v>70</v>
      </c>
      <c r="C83" s="11">
        <f t="shared" si="26"/>
        <v>473.15</v>
      </c>
      <c r="D83" s="14">
        <f t="shared" si="27"/>
        <v>868.7548753764205</v>
      </c>
      <c r="E83" s="15">
        <f t="shared" si="28"/>
        <v>3.6898247768947033E-2</v>
      </c>
      <c r="F83" s="13">
        <f t="shared" si="5"/>
        <v>854.63711910962604</v>
      </c>
      <c r="G83" s="14">
        <f t="shared" si="6"/>
        <v>2.3222651028468491</v>
      </c>
      <c r="H83" s="15">
        <f t="shared" si="7"/>
        <v>4.4632177206183554</v>
      </c>
      <c r="I83" s="15">
        <f t="shared" si="8"/>
        <v>3.3129513926942704</v>
      </c>
      <c r="J83" s="15">
        <f t="shared" si="29"/>
        <v>-1</v>
      </c>
      <c r="K83" s="15">
        <f t="shared" si="30"/>
        <v>1351.6027893581995</v>
      </c>
      <c r="L83" s="35">
        <f t="shared" si="11"/>
        <v>1.3567516199456184E-4</v>
      </c>
      <c r="M83" s="14">
        <f t="shared" si="12"/>
        <v>0.6680575581914211</v>
      </c>
    </row>
    <row r="84" spans="1:13">
      <c r="A84" s="26">
        <f t="shared" si="24"/>
        <v>210</v>
      </c>
      <c r="B84" s="34">
        <f t="shared" si="25"/>
        <v>70</v>
      </c>
      <c r="C84" s="11">
        <f t="shared" si="26"/>
        <v>483.15</v>
      </c>
      <c r="D84" s="14">
        <f t="shared" si="27"/>
        <v>856.83646240249823</v>
      </c>
      <c r="E84" s="15">
        <f t="shared" si="28"/>
        <v>3.6637169917455838E-2</v>
      </c>
      <c r="F84" s="13">
        <f t="shared" si="5"/>
        <v>899.52167154295489</v>
      </c>
      <c r="G84" s="14">
        <f t="shared" si="6"/>
        <v>2.4161379197839321</v>
      </c>
      <c r="H84" s="15">
        <f t="shared" si="7"/>
        <v>4.5149473519544667</v>
      </c>
      <c r="I84" s="15">
        <f t="shared" si="8"/>
        <v>3.2761310831389046</v>
      </c>
      <c r="J84" s="15">
        <f t="shared" si="29"/>
        <v>-1</v>
      </c>
      <c r="K84" s="15">
        <f t="shared" si="30"/>
        <v>1318.8277227056406</v>
      </c>
      <c r="L84" s="35">
        <f t="shared" si="11"/>
        <v>1.2888464372878196E-4</v>
      </c>
      <c r="M84" s="14">
        <f t="shared" si="12"/>
        <v>0.66168382645873214</v>
      </c>
    </row>
    <row r="85" spans="1:13">
      <c r="A85" s="26">
        <f t="shared" si="24"/>
        <v>220</v>
      </c>
      <c r="B85" s="34">
        <f t="shared" si="25"/>
        <v>70</v>
      </c>
      <c r="C85" s="11">
        <f t="shared" si="26"/>
        <v>493.15</v>
      </c>
      <c r="D85" s="14">
        <f t="shared" si="27"/>
        <v>844.31046058112668</v>
      </c>
      <c r="E85" s="15">
        <f t="shared" si="28"/>
        <v>3.6426767566543283E-2</v>
      </c>
      <c r="F85" s="13">
        <f t="shared" si="5"/>
        <v>944.96356458154241</v>
      </c>
      <c r="G85" s="14">
        <f t="shared" si="6"/>
        <v>2.509229098101577</v>
      </c>
      <c r="H85" s="15">
        <f t="shared" si="7"/>
        <v>4.5749392781829705</v>
      </c>
      <c r="I85" s="15">
        <f t="shared" si="8"/>
        <v>3.2411610960289408</v>
      </c>
      <c r="J85" s="15">
        <f t="shared" si="29"/>
        <v>-1</v>
      </c>
      <c r="K85" s="15">
        <f t="shared" si="30"/>
        <v>1283.8327796090502</v>
      </c>
      <c r="L85" s="35">
        <f t="shared" si="11"/>
        <v>1.2271375336167165E-4</v>
      </c>
      <c r="M85" s="14">
        <f t="shared" si="12"/>
        <v>0.65429060045601151</v>
      </c>
    </row>
    <row r="86" spans="1:13">
      <c r="A86" s="26">
        <f t="shared" si="24"/>
        <v>230</v>
      </c>
      <c r="B86" s="34">
        <f t="shared" si="25"/>
        <v>70</v>
      </c>
      <c r="C86" s="11">
        <f t="shared" si="26"/>
        <v>503.15</v>
      </c>
      <c r="D86" s="14">
        <f t="shared" si="27"/>
        <v>831.11386706754627</v>
      </c>
      <c r="E86" s="15">
        <f t="shared" si="28"/>
        <v>3.6269689401474778E-2</v>
      </c>
      <c r="F86" s="13">
        <f t="shared" si="5"/>
        <v>991.05373930394308</v>
      </c>
      <c r="G86" s="14">
        <f t="shared" si="6"/>
        <v>2.6017525395522574</v>
      </c>
      <c r="H86" s="15">
        <f t="shared" si="7"/>
        <v>4.6449343287251539</v>
      </c>
      <c r="I86" s="15">
        <f t="shared" si="8"/>
        <v>3.2081751949974846</v>
      </c>
      <c r="J86" s="15">
        <f t="shared" si="29"/>
        <v>-1</v>
      </c>
      <c r="K86" s="15">
        <f t="shared" si="30"/>
        <v>1246.5423529645889</v>
      </c>
      <c r="L86" s="35">
        <f t="shared" si="11"/>
        <v>1.1705983068616703E-4</v>
      </c>
      <c r="M86" s="14">
        <f t="shared" si="12"/>
        <v>0.64579297291379012</v>
      </c>
    </row>
    <row r="87" spans="1:13">
      <c r="A87" s="26">
        <f t="shared" si="24"/>
        <v>240</v>
      </c>
      <c r="B87" s="34">
        <f t="shared" si="25"/>
        <v>70</v>
      </c>
      <c r="C87" s="11">
        <f t="shared" si="26"/>
        <v>513.15</v>
      </c>
      <c r="D87" s="14">
        <f t="shared" si="27"/>
        <v>817.16699830761308</v>
      </c>
      <c r="E87" s="15">
        <f t="shared" si="28"/>
        <v>3.6169848499482349E-2</v>
      </c>
      <c r="F87" s="13">
        <f t="shared" ref="F87:F150" si="31">enthalpyw($C87,$B87)</f>
        <v>1037.9031947138167</v>
      </c>
      <c r="G87" s="14">
        <f t="shared" ref="G87:G150" si="32">entropyw($C87,$B87)</f>
        <v>2.6939489748769208</v>
      </c>
      <c r="H87" s="15">
        <f t="shared" ref="H87:H150" si="33">cpw($C87,$B87)</f>
        <v>4.7272403032266022</v>
      </c>
      <c r="I87" s="15">
        <f t="shared" ref="I87:I150" si="34">cvw($C87,$B87)</f>
        <v>3.1773183702703975</v>
      </c>
      <c r="J87" s="15">
        <f t="shared" si="29"/>
        <v>-1</v>
      </c>
      <c r="K87" s="15">
        <f t="shared" si="30"/>
        <v>1206.8391417417722</v>
      </c>
      <c r="L87" s="35">
        <f t="shared" ref="L87:L150" si="35">viscw($C87,$B87)</f>
        <v>1.1183384200535468E-4</v>
      </c>
      <c r="M87" s="14">
        <f t="shared" ref="M87:M150" si="36">thconw($C87,$B87)</f>
        <v>0.63608470112767757</v>
      </c>
    </row>
    <row r="88" spans="1:13">
      <c r="A88" s="26">
        <f t="shared" si="24"/>
        <v>250</v>
      </c>
      <c r="B88" s="34">
        <f t="shared" si="25"/>
        <v>70</v>
      </c>
      <c r="C88" s="11">
        <f t="shared" si="26"/>
        <v>523.15</v>
      </c>
      <c r="D88" s="14">
        <f t="shared" si="27"/>
        <v>802.36756523213228</v>
      </c>
      <c r="E88" s="15">
        <f t="shared" si="28"/>
        <v>3.6132852472044757E-2</v>
      </c>
      <c r="F88" s="13">
        <f t="shared" si="31"/>
        <v>1085.6499925956552</v>
      </c>
      <c r="G88" s="14">
        <f t="shared" si="32"/>
        <v>2.7860974041188369</v>
      </c>
      <c r="H88" s="15">
        <f t="shared" si="33"/>
        <v>4.8250244400291376</v>
      </c>
      <c r="I88" s="15">
        <f t="shared" si="34"/>
        <v>3.1487634549686501</v>
      </c>
      <c r="J88" s="15">
        <f t="shared" si="29"/>
        <v>-1</v>
      </c>
      <c r="K88" s="15">
        <f t="shared" si="30"/>
        <v>1164.5334262815636</v>
      </c>
      <c r="L88" s="35">
        <f t="shared" si="35"/>
        <v>1.0695670761264575E-4</v>
      </c>
      <c r="M88" s="14">
        <f t="shared" si="36"/>
        <v>0.62503576434669228</v>
      </c>
    </row>
    <row r="89" spans="1:13">
      <c r="A89" s="26">
        <f t="shared" si="24"/>
        <v>260</v>
      </c>
      <c r="B89" s="34">
        <f t="shared" si="25"/>
        <v>70</v>
      </c>
      <c r="C89" s="11">
        <f t="shared" si="26"/>
        <v>533.15</v>
      </c>
      <c r="D89" s="14">
        <f t="shared" si="27"/>
        <v>786.58122727372734</v>
      </c>
      <c r="E89" s="15">
        <f t="shared" si="28"/>
        <v>3.6166697296673204E-2</v>
      </c>
      <c r="F89" s="13">
        <f t="shared" si="31"/>
        <v>1134.4701421828356</v>
      </c>
      <c r="G89" s="14">
        <f t="shared" si="32"/>
        <v>2.8785327944850381</v>
      </c>
      <c r="H89" s="15">
        <f t="shared" si="33"/>
        <v>4.9428192712778829</v>
      </c>
      <c r="I89" s="15">
        <f t="shared" si="34"/>
        <v>3.1227472401365519</v>
      </c>
      <c r="J89" s="15">
        <f t="shared" si="29"/>
        <v>-1</v>
      </c>
      <c r="K89" s="15">
        <f t="shared" si="30"/>
        <v>1119.3139211402852</v>
      </c>
      <c r="L89" s="35">
        <f t="shared" si="35"/>
        <v>1.0235583943998563E-4</v>
      </c>
      <c r="M89" s="14">
        <f t="shared" si="36"/>
        <v>0.6124916140253629</v>
      </c>
    </row>
    <row r="90" spans="1:13">
      <c r="A90" s="26">
        <f t="shared" si="24"/>
        <v>270</v>
      </c>
      <c r="B90" s="34">
        <f t="shared" si="25"/>
        <v>70</v>
      </c>
      <c r="C90" s="11">
        <f t="shared" si="26"/>
        <v>543.15</v>
      </c>
      <c r="D90" s="14">
        <f t="shared" si="27"/>
        <v>769.62584476546226</v>
      </c>
      <c r="E90" s="15">
        <f t="shared" si="28"/>
        <v>3.6282935343220211E-2</v>
      </c>
      <c r="F90" s="13">
        <f t="shared" si="31"/>
        <v>1184.5953790790477</v>
      </c>
      <c r="G90" s="14">
        <f t="shared" si="32"/>
        <v>2.9716749345767672</v>
      </c>
      <c r="H90" s="15">
        <f t="shared" si="33"/>
        <v>5.0874432513165244</v>
      </c>
      <c r="I90" s="15">
        <f t="shared" si="34"/>
        <v>3.0996506480604906</v>
      </c>
      <c r="J90" s="15">
        <f t="shared" si="29"/>
        <v>-1</v>
      </c>
      <c r="K90" s="15">
        <f t="shared" si="30"/>
        <v>1070.6681390416468</v>
      </c>
      <c r="L90" s="35">
        <f t="shared" si="35"/>
        <v>9.7961409606913416E-5</v>
      </c>
      <c r="M90" s="14">
        <f t="shared" si="36"/>
        <v>0.59827567427892026</v>
      </c>
    </row>
    <row r="91" spans="1:13">
      <c r="A91" s="26">
        <f t="shared" si="24"/>
        <v>280</v>
      </c>
      <c r="B91" s="34">
        <f t="shared" si="25"/>
        <v>70</v>
      </c>
      <c r="C91" s="11">
        <f t="shared" si="26"/>
        <v>553.15</v>
      </c>
      <c r="D91" s="14">
        <f t="shared" si="27"/>
        <v>751.24380644410553</v>
      </c>
      <c r="E91" s="15">
        <f t="shared" si="28"/>
        <v>3.6498752494876253E-2</v>
      </c>
      <c r="F91" s="13">
        <f t="shared" si="31"/>
        <v>1236.3439188100938</v>
      </c>
      <c r="G91" s="14">
        <f t="shared" si="32"/>
        <v>3.0660783054903167</v>
      </c>
      <c r="H91" s="15">
        <f t="shared" si="33"/>
        <v>5.2697837336193007</v>
      </c>
      <c r="I91" s="15">
        <f t="shared" si="34"/>
        <v>3.0801462729804725</v>
      </c>
      <c r="J91" s="15">
        <f t="shared" si="29"/>
        <v>-1</v>
      </c>
      <c r="K91" s="15">
        <f t="shared" si="30"/>
        <v>1017.767991967715</v>
      </c>
      <c r="L91" s="35">
        <f t="shared" si="35"/>
        <v>9.3701580606999209E-5</v>
      </c>
      <c r="M91" s="14">
        <f t="shared" si="36"/>
        <v>0.58219605946888153</v>
      </c>
    </row>
    <row r="92" spans="1:13">
      <c r="A92" s="26">
        <f t="shared" si="24"/>
        <v>290</v>
      </c>
      <c r="B92" s="34">
        <f t="shared" si="25"/>
        <v>70</v>
      </c>
      <c r="C92" s="11">
        <f t="shared" si="26"/>
        <v>563.15</v>
      </c>
      <c r="D92" s="14">
        <f t="shared" si="27"/>
        <v>35.658405121612191</v>
      </c>
      <c r="E92" s="15">
        <f t="shared" si="28"/>
        <v>0.75529365933784209</v>
      </c>
      <c r="F92" s="13">
        <f t="shared" si="31"/>
        <v>2793.9752127590868</v>
      </c>
      <c r="G92" s="14">
        <f t="shared" si="32"/>
        <v>5.8527875230371338</v>
      </c>
      <c r="H92" s="15">
        <f t="shared" si="33"/>
        <v>4.936019498183895</v>
      </c>
      <c r="I92" s="15">
        <f t="shared" si="34"/>
        <v>2.6659730860211641</v>
      </c>
      <c r="J92" s="15">
        <f t="shared" si="29"/>
        <v>1.2562595675301724</v>
      </c>
      <c r="K92" s="15">
        <f t="shared" si="30"/>
        <v>496.60118755911708</v>
      </c>
      <c r="L92" s="35">
        <f t="shared" si="35"/>
        <v>1.917393316474783E-5</v>
      </c>
      <c r="M92" s="14">
        <f t="shared" si="36"/>
        <v>6.2120192893010309E-2</v>
      </c>
    </row>
    <row r="93" spans="1:13">
      <c r="A93" s="26">
        <f t="shared" si="24"/>
        <v>300</v>
      </c>
      <c r="B93" s="34">
        <f t="shared" si="25"/>
        <v>70</v>
      </c>
      <c r="C93" s="11">
        <f t="shared" si="26"/>
        <v>573.15</v>
      </c>
      <c r="D93" s="14">
        <f t="shared" si="27"/>
        <v>33.90542928301619</v>
      </c>
      <c r="E93" s="15">
        <f t="shared" si="28"/>
        <v>0.78048452738372831</v>
      </c>
      <c r="F93" s="13">
        <f t="shared" si="31"/>
        <v>2839.8277449090133</v>
      </c>
      <c r="G93" s="14">
        <f t="shared" si="32"/>
        <v>5.9335110686380608</v>
      </c>
      <c r="H93" s="15">
        <f t="shared" si="33"/>
        <v>4.291866436700051</v>
      </c>
      <c r="I93" s="15">
        <f t="shared" si="34"/>
        <v>2.4471678140022499</v>
      </c>
      <c r="J93" s="15">
        <f t="shared" si="29"/>
        <v>1.266087184672541</v>
      </c>
      <c r="K93" s="15">
        <f t="shared" si="30"/>
        <v>511.26516453957385</v>
      </c>
      <c r="L93" s="35">
        <f t="shared" si="35"/>
        <v>1.9678893253143067E-5</v>
      </c>
      <c r="M93" s="14">
        <f t="shared" si="36"/>
        <v>6.0816582426398418E-2</v>
      </c>
    </row>
    <row r="94" spans="1:13">
      <c r="A94" s="26">
        <f t="shared" si="24"/>
        <v>310</v>
      </c>
      <c r="B94" s="34">
        <f t="shared" si="25"/>
        <v>70</v>
      </c>
      <c r="C94" s="11">
        <f t="shared" si="26"/>
        <v>583.15</v>
      </c>
      <c r="D94" s="14">
        <f t="shared" si="27"/>
        <v>32.463899387010748</v>
      </c>
      <c r="E94" s="15">
        <f t="shared" si="28"/>
        <v>0.80116298938405062</v>
      </c>
      <c r="F94" s="13">
        <f t="shared" si="31"/>
        <v>2880.5658145344573</v>
      </c>
      <c r="G94" s="14">
        <f t="shared" si="32"/>
        <v>6.003985816731805</v>
      </c>
      <c r="H94" s="15">
        <f t="shared" si="33"/>
        <v>3.881714010750362</v>
      </c>
      <c r="I94" s="15">
        <f t="shared" si="34"/>
        <v>2.3050161979698593</v>
      </c>
      <c r="J94" s="15">
        <f t="shared" si="29"/>
        <v>1.2715226396140984</v>
      </c>
      <c r="K94" s="15">
        <f t="shared" si="30"/>
        <v>523.61336931387621</v>
      </c>
      <c r="L94" s="35">
        <f t="shared" si="35"/>
        <v>2.0174738726166949E-5</v>
      </c>
      <c r="M94" s="14">
        <f t="shared" si="36"/>
        <v>6.0061940503146463E-2</v>
      </c>
    </row>
    <row r="95" spans="1:13">
      <c r="A95" s="26">
        <f t="shared" si="24"/>
        <v>320</v>
      </c>
      <c r="B95" s="34">
        <f t="shared" si="25"/>
        <v>70</v>
      </c>
      <c r="C95" s="11">
        <f t="shared" si="26"/>
        <v>593.15</v>
      </c>
      <c r="D95" s="14">
        <f t="shared" si="27"/>
        <v>31.23573309869208</v>
      </c>
      <c r="E95" s="15">
        <f t="shared" si="28"/>
        <v>0.81862613216307478</v>
      </c>
      <c r="F95" s="13">
        <f t="shared" si="31"/>
        <v>2917.8554779202968</v>
      </c>
      <c r="G95" s="14">
        <f t="shared" si="32"/>
        <v>6.0673959450549386</v>
      </c>
      <c r="H95" s="15">
        <f t="shared" si="33"/>
        <v>3.5913142784059415</v>
      </c>
      <c r="I95" s="15">
        <f t="shared" si="34"/>
        <v>2.201275537004372</v>
      </c>
      <c r="J95" s="15">
        <f t="shared" si="29"/>
        <v>1.2751183965612913</v>
      </c>
      <c r="K95" s="15">
        <f t="shared" si="30"/>
        <v>534.56241970624967</v>
      </c>
      <c r="L95" s="35">
        <f t="shared" si="35"/>
        <v>2.0663036408376163E-5</v>
      </c>
      <c r="M95" s="14">
        <f t="shared" si="36"/>
        <v>5.9677485449005925E-2</v>
      </c>
    </row>
    <row r="96" spans="1:13">
      <c r="A96" s="26">
        <f t="shared" si="24"/>
        <v>330</v>
      </c>
      <c r="B96" s="34">
        <f t="shared" si="25"/>
        <v>70</v>
      </c>
      <c r="C96" s="11">
        <f t="shared" si="26"/>
        <v>603.15</v>
      </c>
      <c r="D96" s="14">
        <f t="shared" si="27"/>
        <v>30.164093054846553</v>
      </c>
      <c r="E96" s="15">
        <f t="shared" si="28"/>
        <v>0.83365476718023146</v>
      </c>
      <c r="F96" s="13">
        <f t="shared" si="31"/>
        <v>2952.6335323902722</v>
      </c>
      <c r="G96" s="14">
        <f t="shared" si="32"/>
        <v>6.1255450501457336</v>
      </c>
      <c r="H96" s="15">
        <f t="shared" si="33"/>
        <v>3.3740016953838916</v>
      </c>
      <c r="I96" s="15">
        <f t="shared" si="34"/>
        <v>2.1215766745581952</v>
      </c>
      <c r="J96" s="15">
        <f t="shared" si="29"/>
        <v>1.2776958989195757</v>
      </c>
      <c r="K96" s="15">
        <f t="shared" si="30"/>
        <v>544.52476274806554</v>
      </c>
      <c r="L96" s="35">
        <f t="shared" si="35"/>
        <v>2.1144877907063878E-5</v>
      </c>
      <c r="M96" s="14">
        <f t="shared" si="36"/>
        <v>5.9563868644393538E-2</v>
      </c>
    </row>
    <row r="97" spans="1:13">
      <c r="A97" s="26">
        <f t="shared" si="24"/>
        <v>340</v>
      </c>
      <c r="B97" s="34">
        <f t="shared" si="25"/>
        <v>70</v>
      </c>
      <c r="C97" s="11">
        <f t="shared" si="26"/>
        <v>613.15</v>
      </c>
      <c r="D97" s="14">
        <f t="shared" si="27"/>
        <v>29.212654939687976</v>
      </c>
      <c r="E97" s="15">
        <f t="shared" si="28"/>
        <v>0.84676730444800186</v>
      </c>
      <c r="F97" s="13">
        <f t="shared" si="31"/>
        <v>2985.4959974374219</v>
      </c>
      <c r="G97" s="14">
        <f t="shared" si="32"/>
        <v>6.1795868431453771</v>
      </c>
      <c r="H97" s="15">
        <f t="shared" si="33"/>
        <v>3.2051552399261691</v>
      </c>
      <c r="I97" s="15">
        <f t="shared" si="34"/>
        <v>2.0584264676352952</v>
      </c>
      <c r="J97" s="15">
        <f t="shared" si="29"/>
        <v>1.279595915892044</v>
      </c>
      <c r="K97" s="15">
        <f t="shared" si="30"/>
        <v>553.73239046190156</v>
      </c>
      <c r="L97" s="35">
        <f t="shared" si="35"/>
        <v>2.1621071580600495E-5</v>
      </c>
      <c r="M97" s="14">
        <f t="shared" si="36"/>
        <v>5.965754027098049E-2</v>
      </c>
    </row>
    <row r="98" spans="1:13">
      <c r="A98" s="26">
        <f t="shared" si="24"/>
        <v>350</v>
      </c>
      <c r="B98" s="34">
        <f t="shared" si="25"/>
        <v>70</v>
      </c>
      <c r="C98" s="11">
        <f t="shared" si="26"/>
        <v>623.15</v>
      </c>
      <c r="D98" s="14">
        <f t="shared" si="27"/>
        <v>28.356695787387288</v>
      </c>
      <c r="E98" s="15">
        <f t="shared" si="28"/>
        <v>0.85832866897253768</v>
      </c>
      <c r="F98" s="13">
        <f t="shared" si="31"/>
        <v>3016.8497253086198</v>
      </c>
      <c r="G98" s="14">
        <f t="shared" si="32"/>
        <v>6.230312761718678</v>
      </c>
      <c r="H98" s="15">
        <f t="shared" si="33"/>
        <v>3.0704059707991447</v>
      </c>
      <c r="I98" s="15">
        <f t="shared" si="34"/>
        <v>2.0073924539830843</v>
      </c>
      <c r="J98" s="15">
        <f t="shared" si="29"/>
        <v>1.2809925509028581</v>
      </c>
      <c r="K98" s="15">
        <f t="shared" si="30"/>
        <v>562.33421671298095</v>
      </c>
      <c r="L98" s="35">
        <f t="shared" si="35"/>
        <v>2.2092239996256705E-5</v>
      </c>
      <c r="M98" s="14">
        <f t="shared" si="36"/>
        <v>5.9915035199625162E-2</v>
      </c>
    </row>
    <row r="99" spans="1:13">
      <c r="A99" s="26">
        <f t="shared" si="24"/>
        <v>100</v>
      </c>
      <c r="B99" s="34">
        <f t="shared" si="25"/>
        <v>80</v>
      </c>
      <c r="C99" s="11">
        <f t="shared" si="26"/>
        <v>373.15</v>
      </c>
      <c r="D99" s="14">
        <f t="shared" si="27"/>
        <v>962.01674726379611</v>
      </c>
      <c r="E99" s="15">
        <f t="shared" si="28"/>
        <v>4.8286720524675475E-2</v>
      </c>
      <c r="F99" s="13">
        <f t="shared" si="31"/>
        <v>425.04073509181632</v>
      </c>
      <c r="G99" s="14">
        <f t="shared" si="32"/>
        <v>1.300892197885676</v>
      </c>
      <c r="H99" s="15">
        <f t="shared" si="33"/>
        <v>4.1988505701659093</v>
      </c>
      <c r="I99" s="15">
        <f t="shared" si="34"/>
        <v>3.7562168267863383</v>
      </c>
      <c r="J99" s="15">
        <f t="shared" si="29"/>
        <v>-1</v>
      </c>
      <c r="K99" s="15">
        <f t="shared" si="30"/>
        <v>1561.1274863882923</v>
      </c>
      <c r="L99" s="35">
        <f t="shared" si="35"/>
        <v>2.838567140250275E-4</v>
      </c>
      <c r="M99" s="14">
        <f t="shared" si="36"/>
        <v>0.68340770339493184</v>
      </c>
    </row>
    <row r="100" spans="1:13">
      <c r="A100" s="26">
        <f t="shared" si="24"/>
        <v>110</v>
      </c>
      <c r="B100" s="34">
        <f t="shared" si="25"/>
        <v>80</v>
      </c>
      <c r="C100" s="11">
        <f t="shared" si="26"/>
        <v>383.15</v>
      </c>
      <c r="D100" s="14">
        <f t="shared" si="27"/>
        <v>954.70276954664496</v>
      </c>
      <c r="E100" s="15">
        <f t="shared" si="28"/>
        <v>4.7386733946970773E-2</v>
      </c>
      <c r="F100" s="13">
        <f t="shared" si="31"/>
        <v>467.09264590846436</v>
      </c>
      <c r="G100" s="14">
        <f t="shared" si="32"/>
        <v>1.4121022335532061</v>
      </c>
      <c r="H100" s="15">
        <f t="shared" si="33"/>
        <v>4.2118632131844222</v>
      </c>
      <c r="I100" s="15">
        <f t="shared" si="34"/>
        <v>3.7071045190258376</v>
      </c>
      <c r="J100" s="15">
        <f t="shared" si="29"/>
        <v>-1</v>
      </c>
      <c r="K100" s="15">
        <f t="shared" si="30"/>
        <v>1551.19653003179</v>
      </c>
      <c r="L100" s="35">
        <f t="shared" si="35"/>
        <v>2.5678317223199945E-4</v>
      </c>
      <c r="M100" s="14">
        <f t="shared" si="36"/>
        <v>0.68614969975125828</v>
      </c>
    </row>
    <row r="101" spans="1:13">
      <c r="A101" s="26">
        <f t="shared" si="24"/>
        <v>120</v>
      </c>
      <c r="B101" s="34">
        <f t="shared" si="25"/>
        <v>80</v>
      </c>
      <c r="C101" s="11">
        <f t="shared" si="26"/>
        <v>393.15</v>
      </c>
      <c r="D101" s="14">
        <f t="shared" si="27"/>
        <v>946.9608218251085</v>
      </c>
      <c r="E101" s="15">
        <f t="shared" si="28"/>
        <v>4.6558984304982488E-2</v>
      </c>
      <c r="F101" s="13">
        <f t="shared" si="31"/>
        <v>509.28486101107421</v>
      </c>
      <c r="G101" s="14">
        <f t="shared" si="32"/>
        <v>1.5208082120029709</v>
      </c>
      <c r="H101" s="15">
        <f t="shared" si="33"/>
        <v>4.2269361794745981</v>
      </c>
      <c r="I101" s="15">
        <f t="shared" si="34"/>
        <v>3.6587783754555518</v>
      </c>
      <c r="J101" s="15">
        <f t="shared" si="29"/>
        <v>-1</v>
      </c>
      <c r="K101" s="15">
        <f t="shared" si="30"/>
        <v>1538.5362405314872</v>
      </c>
      <c r="L101" s="35">
        <f t="shared" si="35"/>
        <v>2.3409548991231959E-4</v>
      </c>
      <c r="M101" s="14">
        <f t="shared" si="36"/>
        <v>0.68779841659609775</v>
      </c>
    </row>
    <row r="102" spans="1:13">
      <c r="A102" s="26">
        <f t="shared" si="24"/>
        <v>130</v>
      </c>
      <c r="B102" s="34">
        <f t="shared" si="25"/>
        <v>80</v>
      </c>
      <c r="C102" s="11">
        <f t="shared" si="26"/>
        <v>403.15</v>
      </c>
      <c r="D102" s="14">
        <f t="shared" si="27"/>
        <v>938.79874557222843</v>
      </c>
      <c r="E102" s="15">
        <f t="shared" si="28"/>
        <v>4.5798855396502421E-2</v>
      </c>
      <c r="F102" s="13">
        <f t="shared" si="31"/>
        <v>551.63882090118705</v>
      </c>
      <c r="G102" s="14">
        <f t="shared" si="32"/>
        <v>1.6271897876997323</v>
      </c>
      <c r="H102" s="15">
        <f t="shared" si="33"/>
        <v>4.2442466086665354</v>
      </c>
      <c r="I102" s="15">
        <f t="shared" si="34"/>
        <v>3.611354744712187</v>
      </c>
      <c r="J102" s="15">
        <f t="shared" si="29"/>
        <v>-1</v>
      </c>
      <c r="K102" s="15">
        <f t="shared" si="30"/>
        <v>1523.3538021758886</v>
      </c>
      <c r="L102" s="35">
        <f t="shared" si="35"/>
        <v>2.148921524089408E-4</v>
      </c>
      <c r="M102" s="14">
        <f t="shared" si="36"/>
        <v>0.68846175389340669</v>
      </c>
    </row>
    <row r="103" spans="1:13">
      <c r="A103" s="26">
        <f t="shared" si="24"/>
        <v>140</v>
      </c>
      <c r="B103" s="34">
        <f t="shared" si="25"/>
        <v>80</v>
      </c>
      <c r="C103" s="11">
        <f t="shared" si="26"/>
        <v>413.15</v>
      </c>
      <c r="D103" s="14">
        <f t="shared" si="27"/>
        <v>930.21923372270589</v>
      </c>
      <c r="E103" s="15">
        <f t="shared" si="28"/>
        <v>4.5102510568637608E-2</v>
      </c>
      <c r="F103" s="13">
        <f t="shared" si="31"/>
        <v>594.17803839759983</v>
      </c>
      <c r="G103" s="14">
        <f t="shared" si="32"/>
        <v>1.7314184825481891</v>
      </c>
      <c r="H103" s="15">
        <f t="shared" si="33"/>
        <v>4.2640328434966275</v>
      </c>
      <c r="I103" s="15">
        <f t="shared" si="34"/>
        <v>3.5649261598768724</v>
      </c>
      <c r="J103" s="15">
        <f t="shared" si="29"/>
        <v>-1</v>
      </c>
      <c r="K103" s="15">
        <f t="shared" si="30"/>
        <v>1505.80880722749</v>
      </c>
      <c r="L103" s="35">
        <f t="shared" si="35"/>
        <v>1.9848823154307188E-4</v>
      </c>
      <c r="M103" s="14">
        <f t="shared" si="36"/>
        <v>0.68821517462459014</v>
      </c>
    </row>
    <row r="104" spans="1:13">
      <c r="A104" s="26">
        <f t="shared" si="24"/>
        <v>150</v>
      </c>
      <c r="B104" s="34">
        <f t="shared" si="25"/>
        <v>80</v>
      </c>
      <c r="C104" s="11">
        <f t="shared" si="26"/>
        <v>423.15</v>
      </c>
      <c r="D104" s="14">
        <f t="shared" si="27"/>
        <v>921.22003332229599</v>
      </c>
      <c r="E104" s="15">
        <f t="shared" si="28"/>
        <v>4.4466819754298212E-2</v>
      </c>
      <c r="F104" s="13">
        <f t="shared" si="31"/>
        <v>636.92874130704956</v>
      </c>
      <c r="G104" s="14">
        <f t="shared" si="32"/>
        <v>1.8336600010587425</v>
      </c>
      <c r="H104" s="15">
        <f t="shared" si="33"/>
        <v>4.2866006206035401</v>
      </c>
      <c r="I104" s="15">
        <f t="shared" si="34"/>
        <v>3.5195761974148425</v>
      </c>
      <c r="J104" s="15">
        <f t="shared" si="29"/>
        <v>-1</v>
      </c>
      <c r="K104" s="15">
        <f t="shared" si="30"/>
        <v>1486.0186918582674</v>
      </c>
      <c r="L104" s="35">
        <f t="shared" si="35"/>
        <v>1.8435549234283168E-4</v>
      </c>
      <c r="M104" s="14">
        <f t="shared" si="36"/>
        <v>0.68710648873582858</v>
      </c>
    </row>
    <row r="105" spans="1:13">
      <c r="A105" s="26">
        <f t="shared" si="24"/>
        <v>160</v>
      </c>
      <c r="B105" s="34">
        <f t="shared" si="25"/>
        <v>80</v>
      </c>
      <c r="C105" s="11">
        <f t="shared" si="26"/>
        <v>433.15</v>
      </c>
      <c r="D105" s="14">
        <f t="shared" si="27"/>
        <v>911.79396298561596</v>
      </c>
      <c r="E105" s="15">
        <f t="shared" si="28"/>
        <v>4.3889310474216493E-2</v>
      </c>
      <c r="F105" s="13">
        <f t="shared" si="31"/>
        <v>679.92058161281909</v>
      </c>
      <c r="G105" s="14">
        <f t="shared" si="32"/>
        <v>1.9340764304156239</v>
      </c>
      <c r="H105" s="15">
        <f t="shared" si="33"/>
        <v>4.3123304528487454</v>
      </c>
      <c r="I105" s="15">
        <f t="shared" si="34"/>
        <v>3.4753892426723318</v>
      </c>
      <c r="J105" s="15">
        <f t="shared" si="29"/>
        <v>-1</v>
      </c>
      <c r="K105" s="15">
        <f t="shared" si="30"/>
        <v>1464.0639566886816</v>
      </c>
      <c r="L105" s="35">
        <f t="shared" si="35"/>
        <v>1.7208103896495318E-4</v>
      </c>
      <c r="M105" s="14">
        <f t="shared" si="36"/>
        <v>0.6851607643484271</v>
      </c>
    </row>
    <row r="106" spans="1:13">
      <c r="A106" s="26">
        <f t="shared" si="24"/>
        <v>170</v>
      </c>
      <c r="B106" s="34">
        <f t="shared" si="25"/>
        <v>80</v>
      </c>
      <c r="C106" s="11">
        <f t="shared" si="26"/>
        <v>443.15</v>
      </c>
      <c r="D106" s="14">
        <f t="shared" si="27"/>
        <v>901.92874904982637</v>
      </c>
      <c r="E106" s="15">
        <f t="shared" si="28"/>
        <v>4.3368140879784779E-2</v>
      </c>
      <c r="F106" s="13">
        <f t="shared" si="31"/>
        <v>723.18743112925972</v>
      </c>
      <c r="G106" s="14">
        <f t="shared" si="32"/>
        <v>2.0328283866816399</v>
      </c>
      <c r="H106" s="15">
        <f t="shared" si="33"/>
        <v>4.3416878109709129</v>
      </c>
      <c r="I106" s="15">
        <f t="shared" si="34"/>
        <v>3.4324563732591487</v>
      </c>
      <c r="J106" s="15">
        <f t="shared" si="29"/>
        <v>-1</v>
      </c>
      <c r="K106" s="15">
        <f t="shared" si="30"/>
        <v>1439.9932645150186</v>
      </c>
      <c r="L106" s="35">
        <f t="shared" si="35"/>
        <v>1.6133813857336192E-4</v>
      </c>
      <c r="M106" s="14">
        <f t="shared" si="36"/>
        <v>0.68238455606025006</v>
      </c>
    </row>
    <row r="107" spans="1:13">
      <c r="A107" s="26">
        <f t="shared" si="24"/>
        <v>180</v>
      </c>
      <c r="B107" s="34">
        <f t="shared" si="25"/>
        <v>80</v>
      </c>
      <c r="C107" s="11">
        <f t="shared" si="26"/>
        <v>453.15</v>
      </c>
      <c r="D107" s="14">
        <f t="shared" si="27"/>
        <v>891.60666810666066</v>
      </c>
      <c r="E107" s="15">
        <f t="shared" si="28"/>
        <v>4.290209467111647E-2</v>
      </c>
      <c r="F107" s="13">
        <f t="shared" si="31"/>
        <v>766.7683000592682</v>
      </c>
      <c r="G107" s="14">
        <f t="shared" si="32"/>
        <v>2.1300771956072508</v>
      </c>
      <c r="H107" s="15">
        <f t="shared" si="33"/>
        <v>4.3752378349566676</v>
      </c>
      <c r="I107" s="15">
        <f t="shared" si="34"/>
        <v>3.3908782276823088</v>
      </c>
      <c r="J107" s="15">
        <f t="shared" si="29"/>
        <v>-1</v>
      </c>
      <c r="K107" s="15">
        <f t="shared" si="30"/>
        <v>1413.828447357103</v>
      </c>
      <c r="L107" s="35">
        <f t="shared" si="35"/>
        <v>1.5186523941575537E-4</v>
      </c>
      <c r="M107" s="14">
        <f t="shared" si="36"/>
        <v>0.67876902831976649</v>
      </c>
    </row>
    <row r="108" spans="1:13">
      <c r="A108" s="26">
        <f t="shared" si="24"/>
        <v>190</v>
      </c>
      <c r="B108" s="34">
        <f t="shared" si="25"/>
        <v>80</v>
      </c>
      <c r="C108" s="11">
        <f t="shared" si="26"/>
        <v>463.15</v>
      </c>
      <c r="D108" s="14">
        <f t="shared" si="27"/>
        <v>880.80396630346377</v>
      </c>
      <c r="E108" s="15">
        <f t="shared" si="28"/>
        <v>4.2490599541285881E-2</v>
      </c>
      <c r="F108" s="13">
        <f t="shared" si="31"/>
        <v>810.70843399134685</v>
      </c>
      <c r="G108" s="14">
        <f t="shared" si="32"/>
        <v>2.2259872246752974</v>
      </c>
      <c r="H108" s="15">
        <f t="shared" si="33"/>
        <v>4.4136667242720362</v>
      </c>
      <c r="I108" s="15">
        <f t="shared" si="34"/>
        <v>3.3507654828870947</v>
      </c>
      <c r="J108" s="15">
        <f t="shared" si="29"/>
        <v>-1</v>
      </c>
      <c r="K108" s="15">
        <f t="shared" si="30"/>
        <v>1385.5693274303999</v>
      </c>
      <c r="L108" s="35">
        <f t="shared" si="35"/>
        <v>1.4345061883516645E-4</v>
      </c>
      <c r="M108" s="14">
        <f t="shared" si="36"/>
        <v>0.67429180281323897</v>
      </c>
    </row>
    <row r="109" spans="1:13">
      <c r="A109" s="26">
        <f t="shared" si="24"/>
        <v>200</v>
      </c>
      <c r="B109" s="34">
        <f t="shared" si="25"/>
        <v>80</v>
      </c>
      <c r="C109" s="11">
        <f t="shared" si="26"/>
        <v>473.15</v>
      </c>
      <c r="D109" s="14">
        <f t="shared" si="27"/>
        <v>869.49000347421588</v>
      </c>
      <c r="E109" s="15">
        <f t="shared" si="28"/>
        <v>4.2133773018384529E-2</v>
      </c>
      <c r="F109" s="13">
        <f t="shared" si="31"/>
        <v>855.06067025905838</v>
      </c>
      <c r="G109" s="14">
        <f t="shared" si="32"/>
        <v>2.3207285197766017</v>
      </c>
      <c r="H109" s="15">
        <f t="shared" si="33"/>
        <v>4.4578128307377414</v>
      </c>
      <c r="I109" s="15">
        <f t="shared" si="34"/>
        <v>3.3122374951501774</v>
      </c>
      <c r="J109" s="15">
        <f t="shared" si="29"/>
        <v>-1</v>
      </c>
      <c r="K109" s="15">
        <f t="shared" si="30"/>
        <v>1355.1979678905284</v>
      </c>
      <c r="L109" s="35">
        <f t="shared" si="35"/>
        <v>1.3592096819794436E-4</v>
      </c>
      <c r="M109" s="14">
        <f t="shared" si="36"/>
        <v>0.66891751500620333</v>
      </c>
    </row>
    <row r="110" spans="1:13">
      <c r="A110" s="26">
        <f t="shared" si="24"/>
        <v>210</v>
      </c>
      <c r="B110" s="34">
        <f t="shared" si="25"/>
        <v>80</v>
      </c>
      <c r="C110" s="11">
        <f t="shared" si="26"/>
        <v>483.15</v>
      </c>
      <c r="D110" s="14">
        <f t="shared" si="27"/>
        <v>857.62603667720816</v>
      </c>
      <c r="E110" s="15">
        <f t="shared" si="28"/>
        <v>4.1832502708640036E-2</v>
      </c>
      <c r="F110" s="13">
        <f t="shared" si="31"/>
        <v>899.88717221845673</v>
      </c>
      <c r="G110" s="14">
        <f t="shared" si="32"/>
        <v>2.4144799561135364</v>
      </c>
      <c r="H110" s="15">
        <f t="shared" si="33"/>
        <v>4.5087121256269045</v>
      </c>
      <c r="I110" s="15">
        <f t="shared" si="34"/>
        <v>3.2754198643607295</v>
      </c>
      <c r="J110" s="15">
        <f t="shared" si="29"/>
        <v>-1</v>
      </c>
      <c r="K110" s="15">
        <f t="shared" si="30"/>
        <v>1322.6814198234315</v>
      </c>
      <c r="L110" s="35">
        <f t="shared" si="35"/>
        <v>1.2913276896800891E-4</v>
      </c>
      <c r="M110" s="14">
        <f t="shared" si="36"/>
        <v>0.66259716548556769</v>
      </c>
    </row>
    <row r="111" spans="1:13">
      <c r="A111" s="26">
        <f t="shared" si="24"/>
        <v>220</v>
      </c>
      <c r="B111" s="34">
        <f t="shared" si="25"/>
        <v>80</v>
      </c>
      <c r="C111" s="11">
        <f t="shared" si="26"/>
        <v>493.15</v>
      </c>
      <c r="D111" s="14">
        <f t="shared" si="27"/>
        <v>845.16350217959018</v>
      </c>
      <c r="E111" s="15">
        <f t="shared" si="28"/>
        <v>4.1588572858251883E-2</v>
      </c>
      <c r="F111" s="13">
        <f t="shared" si="31"/>
        <v>945.26172043401607</v>
      </c>
      <c r="G111" s="14">
        <f t="shared" si="32"/>
        <v>2.5074332065911267</v>
      </c>
      <c r="H111" s="15">
        <f t="shared" si="33"/>
        <v>4.5676657707061681</v>
      </c>
      <c r="I111" s="15">
        <f t="shared" si="34"/>
        <v>3.2404422428050492</v>
      </c>
      <c r="J111" s="15">
        <f t="shared" si="29"/>
        <v>-1</v>
      </c>
      <c r="K111" s="15">
        <f t="shared" si="30"/>
        <v>1287.9711941008252</v>
      </c>
      <c r="L111" s="35">
        <f t="shared" si="35"/>
        <v>1.2296566318863934E-4</v>
      </c>
      <c r="M111" s="14">
        <f t="shared" si="36"/>
        <v>0.65526643505142279</v>
      </c>
    </row>
    <row r="112" spans="1:13">
      <c r="A112" s="26">
        <f t="shared" ref="A112:A175" si="37">A86</f>
        <v>230</v>
      </c>
      <c r="B112" s="34">
        <f t="shared" ref="B112:B175" si="38">B86+10</f>
        <v>80</v>
      </c>
      <c r="C112" s="11">
        <f t="shared" ref="C112:C175" si="39">A112+$E$13</f>
        <v>503.15</v>
      </c>
      <c r="D112" s="14">
        <f t="shared" ref="D112:D175" si="40">densw(C112,B112)</f>
        <v>832.04155753390148</v>
      </c>
      <c r="E112" s="15">
        <f t="shared" ref="E112:E175" si="41">B112*100*$E$11/($E$12*C112)/D112</f>
        <v>4.1404857441624358E-2</v>
      </c>
      <c r="F112" s="13">
        <f t="shared" si="31"/>
        <v>991.27284266859999</v>
      </c>
      <c r="G112" s="14">
        <f t="shared" si="32"/>
        <v>2.5997979947588323</v>
      </c>
      <c r="H112" s="15">
        <f t="shared" si="33"/>
        <v>4.636343241567694</v>
      </c>
      <c r="I112" s="15">
        <f t="shared" si="34"/>
        <v>3.2074385554583542</v>
      </c>
      <c r="J112" s="15">
        <f t="shared" ref="J112:J175" si="42">isentropic_coeffW(C112,B112)</f>
        <v>-1</v>
      </c>
      <c r="K112" s="15">
        <f t="shared" ref="K112:K175" si="43">spsoundW(C112,B112)</f>
        <v>1250.9967539394522</v>
      </c>
      <c r="L112" s="35">
        <f t="shared" si="35"/>
        <v>1.1731724395026476E-4</v>
      </c>
      <c r="M112" s="14">
        <f t="shared" si="36"/>
        <v>0.64684324212943067</v>
      </c>
    </row>
    <row r="113" spans="1:13">
      <c r="A113" s="26">
        <f t="shared" si="37"/>
        <v>240</v>
      </c>
      <c r="B113" s="34">
        <f t="shared" si="38"/>
        <v>80</v>
      </c>
      <c r="C113" s="11">
        <f t="shared" si="39"/>
        <v>513.15</v>
      </c>
      <c r="D113" s="14">
        <f t="shared" si="40"/>
        <v>818.18347080388435</v>
      </c>
      <c r="E113" s="15">
        <f t="shared" si="41"/>
        <v>4.1285614615122049E-2</v>
      </c>
      <c r="F113" s="13">
        <f t="shared" si="31"/>
        <v>1038.028247325163</v>
      </c>
      <c r="G113" s="14">
        <f t="shared" si="32"/>
        <v>2.6918093943802148</v>
      </c>
      <c r="H113" s="15">
        <f t="shared" si="33"/>
        <v>4.7169452504663996</v>
      </c>
      <c r="I113" s="15">
        <f t="shared" si="34"/>
        <v>3.1765526092667824</v>
      </c>
      <c r="J113" s="15">
        <f t="shared" si="42"/>
        <v>-1</v>
      </c>
      <c r="K113" s="15">
        <f t="shared" si="43"/>
        <v>1211.6497974726478</v>
      </c>
      <c r="L113" s="35">
        <f t="shared" si="35"/>
        <v>1.1209882725146629E-4</v>
      </c>
      <c r="M113" s="14">
        <f t="shared" si="36"/>
        <v>0.63722500930078185</v>
      </c>
    </row>
    <row r="114" spans="1:13">
      <c r="A114" s="26">
        <f t="shared" si="37"/>
        <v>250</v>
      </c>
      <c r="B114" s="34">
        <f t="shared" si="38"/>
        <v>80</v>
      </c>
      <c r="C114" s="11">
        <f t="shared" si="39"/>
        <v>523.15</v>
      </c>
      <c r="D114" s="14">
        <f t="shared" si="40"/>
        <v>803.49112878783524</v>
      </c>
      <c r="E114" s="15">
        <f t="shared" si="41"/>
        <v>4.1236944022552624E-2</v>
      </c>
      <c r="F114" s="13">
        <f t="shared" si="31"/>
        <v>1085.6613596145037</v>
      </c>
      <c r="G114" s="14">
        <f t="shared" si="32"/>
        <v>2.783738480028791</v>
      </c>
      <c r="H114" s="15">
        <f t="shared" si="33"/>
        <v>4.8124714153037038</v>
      </c>
      <c r="I114" s="15">
        <f t="shared" si="34"/>
        <v>3.1479528420130256</v>
      </c>
      <c r="J114" s="15">
        <f t="shared" si="42"/>
        <v>-1</v>
      </c>
      <c r="K114" s="15">
        <f t="shared" si="43"/>
        <v>1169.7562866706432</v>
      </c>
      <c r="L114" s="35">
        <f t="shared" si="35"/>
        <v>1.0723183661588688E-4</v>
      </c>
      <c r="M114" s="14">
        <f t="shared" si="36"/>
        <v>0.62628642462316941</v>
      </c>
    </row>
    <row r="115" spans="1:13">
      <c r="A115" s="26">
        <f t="shared" si="37"/>
        <v>260</v>
      </c>
      <c r="B115" s="34">
        <f t="shared" si="38"/>
        <v>80</v>
      </c>
      <c r="C115" s="11">
        <f t="shared" si="39"/>
        <v>533.15</v>
      </c>
      <c r="D115" s="14">
        <f t="shared" si="40"/>
        <v>787.83635501842537</v>
      </c>
      <c r="E115" s="15">
        <f t="shared" si="41"/>
        <v>4.1267518804372273E-2</v>
      </c>
      <c r="F115" s="13">
        <f t="shared" si="31"/>
        <v>1134.3413908988991</v>
      </c>
      <c r="G115" s="14">
        <f t="shared" si="32"/>
        <v>2.8759086542569126</v>
      </c>
      <c r="H115" s="15">
        <f t="shared" si="33"/>
        <v>4.9271788553667397</v>
      </c>
      <c r="I115" s="15">
        <f t="shared" si="34"/>
        <v>3.1218634411774944</v>
      </c>
      <c r="J115" s="15">
        <f t="shared" si="42"/>
        <v>-1</v>
      </c>
      <c r="K115" s="15">
        <f t="shared" si="43"/>
        <v>1125.0324025117782</v>
      </c>
      <c r="L115" s="35">
        <f t="shared" si="35"/>
        <v>1.0264443986448085E-4</v>
      </c>
      <c r="M115" s="14">
        <f t="shared" si="36"/>
        <v>0.61387893515524194</v>
      </c>
    </row>
    <row r="116" spans="1:13">
      <c r="A116" s="26">
        <f t="shared" si="37"/>
        <v>270</v>
      </c>
      <c r="B116" s="34">
        <f t="shared" si="38"/>
        <v>80</v>
      </c>
      <c r="C116" s="11">
        <f t="shared" si="39"/>
        <v>543.15</v>
      </c>
      <c r="D116" s="14">
        <f t="shared" si="40"/>
        <v>771.04658891375277</v>
      </c>
      <c r="E116" s="15">
        <f t="shared" si="41"/>
        <v>4.1389805441956667E-2</v>
      </c>
      <c r="F116" s="13">
        <f t="shared" si="31"/>
        <v>1184.2896177180583</v>
      </c>
      <c r="G116" s="14">
        <f t="shared" si="32"/>
        <v>2.9687219876497362</v>
      </c>
      <c r="H116" s="15">
        <f t="shared" si="33"/>
        <v>5.0674065823867904</v>
      </c>
      <c r="I116" s="15">
        <f t="shared" si="34"/>
        <v>3.0986327979254211</v>
      </c>
      <c r="J116" s="15">
        <f t="shared" si="42"/>
        <v>-1</v>
      </c>
      <c r="K116" s="15">
        <f t="shared" si="43"/>
        <v>1077.0144326436643</v>
      </c>
      <c r="L116" s="35">
        <f t="shared" si="35"/>
        <v>9.8268000565383882E-5</v>
      </c>
      <c r="M116" s="14">
        <f t="shared" si="36"/>
        <v>0.59983359343781373</v>
      </c>
    </row>
    <row r="117" spans="1:13">
      <c r="A117" s="26">
        <f t="shared" si="37"/>
        <v>280</v>
      </c>
      <c r="B117" s="34">
        <f t="shared" si="38"/>
        <v>80</v>
      </c>
      <c r="C117" s="11">
        <f t="shared" si="39"/>
        <v>553.15</v>
      </c>
      <c r="D117" s="14">
        <f t="shared" si="40"/>
        <v>752.88004314227669</v>
      </c>
      <c r="E117" s="15">
        <f t="shared" si="41"/>
        <v>4.1622205296985321E-2</v>
      </c>
      <c r="F117" s="13">
        <f t="shared" si="31"/>
        <v>1235.8071856113311</v>
      </c>
      <c r="G117" s="14">
        <f t="shared" si="32"/>
        <v>3.0627041629425915</v>
      </c>
      <c r="H117" s="15">
        <f t="shared" si="33"/>
        <v>5.2431488475103363</v>
      </c>
      <c r="I117" s="15">
        <f t="shared" si="34"/>
        <v>3.0788743034669537</v>
      </c>
      <c r="J117" s="15">
        <f t="shared" si="42"/>
        <v>-1</v>
      </c>
      <c r="K117" s="15">
        <f t="shared" si="43"/>
        <v>1024.949894534034</v>
      </c>
      <c r="L117" s="35">
        <f t="shared" si="35"/>
        <v>9.403266499210775E-5</v>
      </c>
      <c r="M117" s="14">
        <f t="shared" si="36"/>
        <v>0.58396846056632057</v>
      </c>
    </row>
    <row r="118" spans="1:13">
      <c r="A118" s="26">
        <f t="shared" si="37"/>
        <v>290</v>
      </c>
      <c r="B118" s="34">
        <f t="shared" si="38"/>
        <v>80</v>
      </c>
      <c r="C118" s="11">
        <f t="shared" si="39"/>
        <v>563.15</v>
      </c>
      <c r="D118" s="14">
        <f t="shared" si="40"/>
        <v>732.98011643844256</v>
      </c>
      <c r="E118" s="15">
        <f t="shared" si="41"/>
        <v>4.1993058492413644E-2</v>
      </c>
      <c r="F118" s="13">
        <f t="shared" si="31"/>
        <v>1289.325752727731</v>
      </c>
      <c r="G118" s="14">
        <f t="shared" si="32"/>
        <v>3.1585862744919644</v>
      </c>
      <c r="H118" s="15">
        <f t="shared" si="33"/>
        <v>5.4712687031232043</v>
      </c>
      <c r="I118" s="15">
        <f t="shared" si="34"/>
        <v>3.0635885382960542</v>
      </c>
      <c r="J118" s="15">
        <f t="shared" si="42"/>
        <v>-1</v>
      </c>
      <c r="K118" s="15">
        <f t="shared" si="43"/>
        <v>967.72128194916638</v>
      </c>
      <c r="L118" s="35">
        <f t="shared" si="35"/>
        <v>8.9860844725759309E-5</v>
      </c>
      <c r="M118" s="14">
        <f t="shared" si="36"/>
        <v>0.56609931916908418</v>
      </c>
    </row>
    <row r="119" spans="1:13">
      <c r="A119" s="26">
        <f t="shared" si="37"/>
        <v>300</v>
      </c>
      <c r="B119" s="34">
        <f t="shared" si="38"/>
        <v>80</v>
      </c>
      <c r="C119" s="11">
        <f t="shared" si="39"/>
        <v>573.15</v>
      </c>
      <c r="D119" s="14">
        <f t="shared" si="40"/>
        <v>41.185752850503583</v>
      </c>
      <c r="E119" s="15">
        <f t="shared" si="41"/>
        <v>0.73430837796893289</v>
      </c>
      <c r="F119" s="13">
        <f t="shared" si="31"/>
        <v>2786.3785137664026</v>
      </c>
      <c r="G119" s="14">
        <f t="shared" si="32"/>
        <v>5.7935118140481077</v>
      </c>
      <c r="H119" s="15">
        <f t="shared" si="33"/>
        <v>5.2870180885840652</v>
      </c>
      <c r="I119" s="15">
        <f t="shared" si="34"/>
        <v>2.7311483720534815</v>
      </c>
      <c r="J119" s="15">
        <f t="shared" si="42"/>
        <v>1.2541014768707028</v>
      </c>
      <c r="K119" s="15">
        <f t="shared" si="43"/>
        <v>493.55758282362746</v>
      </c>
      <c r="L119" s="35">
        <f t="shared" si="35"/>
        <v>1.9651168492037436E-5</v>
      </c>
      <c r="M119" s="14">
        <f t="shared" si="36"/>
        <v>6.5793628864541015E-2</v>
      </c>
    </row>
    <row r="120" spans="1:13">
      <c r="A120" s="26">
        <f t="shared" si="37"/>
        <v>310</v>
      </c>
      <c r="B120" s="34">
        <f t="shared" si="38"/>
        <v>80</v>
      </c>
      <c r="C120" s="11">
        <f t="shared" si="39"/>
        <v>583.15</v>
      </c>
      <c r="D120" s="14">
        <f t="shared" si="40"/>
        <v>39.014007763993909</v>
      </c>
      <c r="E120" s="15">
        <f t="shared" si="41"/>
        <v>0.76189117471550705</v>
      </c>
      <c r="F120" s="13">
        <f t="shared" si="31"/>
        <v>2835.2656881969165</v>
      </c>
      <c r="G120" s="14">
        <f t="shared" si="32"/>
        <v>5.8780899290560198</v>
      </c>
      <c r="H120" s="15">
        <f t="shared" si="33"/>
        <v>4.5558781313359251</v>
      </c>
      <c r="I120" s="15">
        <f t="shared" si="34"/>
        <v>2.5078252482321477</v>
      </c>
      <c r="J120" s="15">
        <f t="shared" si="42"/>
        <v>1.2640021730155464</v>
      </c>
      <c r="K120" s="15">
        <f t="shared" si="43"/>
        <v>509.10647519003123</v>
      </c>
      <c r="L120" s="35">
        <f t="shared" si="35"/>
        <v>2.0153873354438863E-5</v>
      </c>
      <c r="M120" s="14">
        <f t="shared" si="36"/>
        <v>6.410742376233397E-2</v>
      </c>
    </row>
    <row r="121" spans="1:13">
      <c r="A121" s="26">
        <f t="shared" si="37"/>
        <v>320</v>
      </c>
      <c r="B121" s="34">
        <f t="shared" si="38"/>
        <v>80</v>
      </c>
      <c r="C121" s="11">
        <f t="shared" si="39"/>
        <v>593.15</v>
      </c>
      <c r="D121" s="14">
        <f t="shared" si="40"/>
        <v>37.254322861653911</v>
      </c>
      <c r="E121" s="15">
        <f t="shared" si="41"/>
        <v>0.78442708412865791</v>
      </c>
      <c r="F121" s="13">
        <f t="shared" si="31"/>
        <v>2878.3500044152584</v>
      </c>
      <c r="G121" s="14">
        <f t="shared" si="32"/>
        <v>5.9513568241634873</v>
      </c>
      <c r="H121" s="15">
        <f t="shared" si="33"/>
        <v>4.0905041690178336</v>
      </c>
      <c r="I121" s="15">
        <f t="shared" si="34"/>
        <v>2.3592618970570736</v>
      </c>
      <c r="J121" s="15">
        <f t="shared" si="42"/>
        <v>1.2696857620207949</v>
      </c>
      <c r="K121" s="15">
        <f t="shared" si="43"/>
        <v>522.16142061528342</v>
      </c>
      <c r="L121" s="35">
        <f t="shared" si="35"/>
        <v>2.0648627339601453E-5</v>
      </c>
      <c r="M121" s="14">
        <f t="shared" si="36"/>
        <v>6.3096994672722506E-2</v>
      </c>
    </row>
    <row r="122" spans="1:13">
      <c r="A122" s="26">
        <f t="shared" si="37"/>
        <v>330</v>
      </c>
      <c r="B122" s="34">
        <f t="shared" si="38"/>
        <v>80</v>
      </c>
      <c r="C122" s="11">
        <f t="shared" si="39"/>
        <v>603.15</v>
      </c>
      <c r="D122" s="14">
        <f t="shared" si="40"/>
        <v>35.771675665100027</v>
      </c>
      <c r="E122" s="15">
        <f t="shared" si="41"/>
        <v>0.80339508860156961</v>
      </c>
      <c r="F122" s="13">
        <f t="shared" si="31"/>
        <v>2917.5256788181364</v>
      </c>
      <c r="G122" s="14">
        <f t="shared" si="32"/>
        <v>6.0168607168482566</v>
      </c>
      <c r="H122" s="15">
        <f t="shared" si="33"/>
        <v>3.7619790809276941</v>
      </c>
      <c r="I122" s="15">
        <f t="shared" si="34"/>
        <v>2.2493635635144678</v>
      </c>
      <c r="J122" s="15">
        <f t="shared" si="42"/>
        <v>1.2735639310846265</v>
      </c>
      <c r="K122" s="15">
        <f t="shared" si="43"/>
        <v>533.68589730031249</v>
      </c>
      <c r="L122" s="35">
        <f t="shared" si="35"/>
        <v>2.1136464549794451E-5</v>
      </c>
      <c r="M122" s="14">
        <f t="shared" si="36"/>
        <v>6.2527846498823911E-2</v>
      </c>
    </row>
    <row r="123" spans="1:13">
      <c r="A123" s="26">
        <f t="shared" si="37"/>
        <v>340</v>
      </c>
      <c r="B123" s="34">
        <f t="shared" si="38"/>
        <v>80</v>
      </c>
      <c r="C123" s="11">
        <f t="shared" si="39"/>
        <v>613.15</v>
      </c>
      <c r="D123" s="14">
        <f t="shared" si="40"/>
        <v>34.489131056630924</v>
      </c>
      <c r="E123" s="15">
        <f t="shared" si="41"/>
        <v>0.81968087821000168</v>
      </c>
      <c r="F123" s="13">
        <f t="shared" si="31"/>
        <v>2953.8674898970435</v>
      </c>
      <c r="G123" s="14">
        <f t="shared" si="32"/>
        <v>6.0766255342230879</v>
      </c>
      <c r="H123" s="15">
        <f t="shared" si="33"/>
        <v>3.5175518723700829</v>
      </c>
      <c r="I123" s="15">
        <f t="shared" si="34"/>
        <v>2.1646352452929656</v>
      </c>
      <c r="J123" s="15">
        <f t="shared" si="42"/>
        <v>1.2763745235288089</v>
      </c>
      <c r="K123" s="15">
        <f t="shared" si="43"/>
        <v>544.11779662926415</v>
      </c>
      <c r="L123" s="35">
        <f t="shared" si="35"/>
        <v>2.1618202691316126E-5</v>
      </c>
      <c r="M123" s="14">
        <f t="shared" si="36"/>
        <v>6.2274474292646778E-2</v>
      </c>
    </row>
    <row r="124" spans="1:13">
      <c r="A124" s="26">
        <f t="shared" si="37"/>
        <v>350</v>
      </c>
      <c r="B124" s="34">
        <f t="shared" si="38"/>
        <v>80</v>
      </c>
      <c r="C124" s="11">
        <f t="shared" si="39"/>
        <v>623.15</v>
      </c>
      <c r="D124" s="14">
        <f t="shared" si="40"/>
        <v>33.358263834675121</v>
      </c>
      <c r="E124" s="15">
        <f t="shared" si="41"/>
        <v>0.8338688495737121</v>
      </c>
      <c r="F124" s="13">
        <f t="shared" si="31"/>
        <v>2988.0609888806471</v>
      </c>
      <c r="G124" s="14">
        <f t="shared" si="32"/>
        <v>6.1319467126578973</v>
      </c>
      <c r="H124" s="15">
        <f t="shared" si="33"/>
        <v>3.3287733776717663</v>
      </c>
      <c r="I124" s="15">
        <f t="shared" si="34"/>
        <v>2.0975158806297154</v>
      </c>
      <c r="J124" s="15">
        <f t="shared" si="42"/>
        <v>1.2784507402451042</v>
      </c>
      <c r="K124" s="15">
        <f t="shared" si="43"/>
        <v>553.71370558647618</v>
      </c>
      <c r="L124" s="35">
        <f t="shared" si="35"/>
        <v>2.2094493004112437E-5</v>
      </c>
      <c r="M124" s="14">
        <f t="shared" si="36"/>
        <v>6.225850716675687E-2</v>
      </c>
    </row>
    <row r="125" spans="1:13">
      <c r="A125" s="26">
        <f t="shared" si="37"/>
        <v>100</v>
      </c>
      <c r="B125" s="34">
        <f t="shared" si="38"/>
        <v>90</v>
      </c>
      <c r="C125" s="11">
        <f t="shared" si="39"/>
        <v>373.15</v>
      </c>
      <c r="D125" s="14">
        <f t="shared" si="40"/>
        <v>962.4747979629077</v>
      </c>
      <c r="E125" s="15">
        <f t="shared" si="41"/>
        <v>5.4296707978941088E-2</v>
      </c>
      <c r="F125" s="13">
        <f t="shared" si="31"/>
        <v>425.79424466255273</v>
      </c>
      <c r="G125" s="14">
        <f t="shared" si="32"/>
        <v>1.3001264847094485</v>
      </c>
      <c r="H125" s="15">
        <f t="shared" si="33"/>
        <v>4.1966575155156178</v>
      </c>
      <c r="I125" s="15">
        <f t="shared" si="34"/>
        <v>3.7547766981498056</v>
      </c>
      <c r="J125" s="15">
        <f t="shared" si="42"/>
        <v>-1</v>
      </c>
      <c r="K125" s="15">
        <f t="shared" si="43"/>
        <v>1563.1383577172114</v>
      </c>
      <c r="L125" s="35">
        <f t="shared" si="35"/>
        <v>2.8412401609409499E-4</v>
      </c>
      <c r="M125" s="14">
        <f t="shared" si="36"/>
        <v>0.68395243573354514</v>
      </c>
    </row>
    <row r="126" spans="1:13">
      <c r="A126" s="26">
        <f t="shared" si="37"/>
        <v>110</v>
      </c>
      <c r="B126" s="34">
        <f t="shared" si="38"/>
        <v>90</v>
      </c>
      <c r="C126" s="11">
        <f t="shared" si="39"/>
        <v>383.15</v>
      </c>
      <c r="D126" s="14">
        <f t="shared" si="40"/>
        <v>955.1742609354651</v>
      </c>
      <c r="E126" s="15">
        <f t="shared" si="41"/>
        <v>5.3283760867326765E-2</v>
      </c>
      <c r="F126" s="13">
        <f t="shared" si="31"/>
        <v>467.82377013756695</v>
      </c>
      <c r="G126" s="14">
        <f t="shared" si="32"/>
        <v>1.4112773255389301</v>
      </c>
      <c r="H126" s="15">
        <f t="shared" si="33"/>
        <v>4.2095739916614603</v>
      </c>
      <c r="I126" s="15">
        <f t="shared" si="34"/>
        <v>3.7058050746868036</v>
      </c>
      <c r="J126" s="15">
        <f t="shared" si="42"/>
        <v>-1</v>
      </c>
      <c r="K126" s="15">
        <f t="shared" si="43"/>
        <v>1553.3044638728188</v>
      </c>
      <c r="L126" s="35">
        <f t="shared" si="35"/>
        <v>2.5704791453239067E-4</v>
      </c>
      <c r="M126" s="14">
        <f t="shared" si="36"/>
        <v>0.68671592365356116</v>
      </c>
    </row>
    <row r="127" spans="1:13">
      <c r="A127" s="26">
        <f t="shared" si="37"/>
        <v>120</v>
      </c>
      <c r="B127" s="34">
        <f t="shared" si="38"/>
        <v>90</v>
      </c>
      <c r="C127" s="11">
        <f t="shared" si="39"/>
        <v>393.15</v>
      </c>
      <c r="D127" s="14">
        <f t="shared" si="40"/>
        <v>947.44811982701651</v>
      </c>
      <c r="E127" s="15">
        <f t="shared" si="41"/>
        <v>5.2351917490683429E-2</v>
      </c>
      <c r="F127" s="13">
        <f t="shared" si="31"/>
        <v>509.99247879576723</v>
      </c>
      <c r="G127" s="14">
        <f t="shared" si="32"/>
        <v>1.519922747530994</v>
      </c>
      <c r="H127" s="15">
        <f t="shared" si="33"/>
        <v>4.224518541237793</v>
      </c>
      <c r="I127" s="15">
        <f t="shared" si="34"/>
        <v>3.6576019886532007</v>
      </c>
      <c r="J127" s="15">
        <f t="shared" si="42"/>
        <v>-1</v>
      </c>
      <c r="K127" s="15">
        <f t="shared" si="43"/>
        <v>1540.7508422086444</v>
      </c>
      <c r="L127" s="35">
        <f t="shared" si="35"/>
        <v>2.3435665959363719E-4</v>
      </c>
      <c r="M127" s="14">
        <f t="shared" si="36"/>
        <v>0.6883878515853622</v>
      </c>
    </row>
    <row r="128" spans="1:13">
      <c r="A128" s="26">
        <f t="shared" si="37"/>
        <v>130</v>
      </c>
      <c r="B128" s="34">
        <f t="shared" si="38"/>
        <v>90</v>
      </c>
      <c r="C128" s="11">
        <f t="shared" si="39"/>
        <v>403.15</v>
      </c>
      <c r="D128" s="14">
        <f t="shared" si="40"/>
        <v>939.30433309480941</v>
      </c>
      <c r="E128" s="15">
        <f t="shared" si="41"/>
        <v>5.1495979300840829E-2</v>
      </c>
      <c r="F128" s="13">
        <f t="shared" si="31"/>
        <v>552.32147556352743</v>
      </c>
      <c r="G128" s="14">
        <f t="shared" si="32"/>
        <v>1.6262416307390073</v>
      </c>
      <c r="H128" s="15">
        <f t="shared" si="33"/>
        <v>4.2416654671315897</v>
      </c>
      <c r="I128" s="15">
        <f t="shared" si="34"/>
        <v>3.6102850871737462</v>
      </c>
      <c r="J128" s="15">
        <f t="shared" si="42"/>
        <v>-1</v>
      </c>
      <c r="K128" s="15">
        <f t="shared" si="43"/>
        <v>1525.6856223092886</v>
      </c>
      <c r="L128" s="35">
        <f t="shared" si="35"/>
        <v>2.151494319773206E-4</v>
      </c>
      <c r="M128" s="14">
        <f t="shared" si="36"/>
        <v>0.6890761442382719</v>
      </c>
    </row>
    <row r="129" spans="1:13">
      <c r="A129" s="26">
        <f t="shared" si="37"/>
        <v>140</v>
      </c>
      <c r="B129" s="34">
        <f t="shared" si="38"/>
        <v>90</v>
      </c>
      <c r="C129" s="11">
        <f t="shared" si="39"/>
        <v>413.15</v>
      </c>
      <c r="D129" s="14">
        <f t="shared" si="40"/>
        <v>930.74578217175247</v>
      </c>
      <c r="E129" s="15">
        <f t="shared" si="41"/>
        <v>5.0711619194783009E-2</v>
      </c>
      <c r="F129" s="13">
        <f t="shared" si="31"/>
        <v>594.83390246759143</v>
      </c>
      <c r="G129" s="14">
        <f t="shared" si="32"/>
        <v>1.7304046933594395</v>
      </c>
      <c r="H129" s="15">
        <f t="shared" si="33"/>
        <v>4.2612488802117472</v>
      </c>
      <c r="I129" s="15">
        <f t="shared" si="34"/>
        <v>3.5639480639945051</v>
      </c>
      <c r="J129" s="15">
        <f t="shared" si="42"/>
        <v>-1</v>
      </c>
      <c r="K129" s="15">
        <f t="shared" si="43"/>
        <v>1508.2695934442993</v>
      </c>
      <c r="L129" s="35">
        <f t="shared" si="35"/>
        <v>1.987417411170867E-4</v>
      </c>
      <c r="M129" s="14">
        <f t="shared" si="36"/>
        <v>0.68885632809274966</v>
      </c>
    </row>
    <row r="130" spans="1:13">
      <c r="A130" s="26">
        <f t="shared" si="37"/>
        <v>150</v>
      </c>
      <c r="B130" s="34">
        <f t="shared" si="38"/>
        <v>90</v>
      </c>
      <c r="C130" s="11">
        <f t="shared" si="39"/>
        <v>423.15</v>
      </c>
      <c r="D130" s="14">
        <f t="shared" si="40"/>
        <v>921.7704799888769</v>
      </c>
      <c r="E130" s="15">
        <f t="shared" si="41"/>
        <v>4.9995299071978444E-2</v>
      </c>
      <c r="F130" s="13">
        <f t="shared" si="31"/>
        <v>637.55556637150698</v>
      </c>
      <c r="G130" s="14">
        <f t="shared" si="32"/>
        <v>1.8325767739877914</v>
      </c>
      <c r="H130" s="15">
        <f t="shared" si="33"/>
        <v>4.2835686705526781</v>
      </c>
      <c r="I130" s="15">
        <f t="shared" si="34"/>
        <v>3.5186754699291014</v>
      </c>
      <c r="J130" s="15">
        <f t="shared" si="42"/>
        <v>-1</v>
      </c>
      <c r="K130" s="15">
        <f t="shared" si="43"/>
        <v>1488.6215821950796</v>
      </c>
      <c r="L130" s="35">
        <f t="shared" si="35"/>
        <v>1.8460563639786015E-4</v>
      </c>
      <c r="M130" s="14">
        <f t="shared" si="36"/>
        <v>0.68777634664443443</v>
      </c>
    </row>
    <row r="131" spans="1:13">
      <c r="A131" s="26">
        <f t="shared" si="37"/>
        <v>160</v>
      </c>
      <c r="B131" s="34">
        <f t="shared" si="38"/>
        <v>90</v>
      </c>
      <c r="C131" s="11">
        <f t="shared" si="39"/>
        <v>433.15</v>
      </c>
      <c r="D131" s="14">
        <f t="shared" si="40"/>
        <v>912.37159881268497</v>
      </c>
      <c r="E131" s="15">
        <f t="shared" si="41"/>
        <v>4.9344213947286476E-2</v>
      </c>
      <c r="F131" s="13">
        <f t="shared" si="31"/>
        <v>680.51563031379681</v>
      </c>
      <c r="G131" s="14">
        <f t="shared" si="32"/>
        <v>1.9329189958152819</v>
      </c>
      <c r="H131" s="15">
        <f t="shared" si="33"/>
        <v>4.3089975220970844</v>
      </c>
      <c r="I131" s="15">
        <f t="shared" si="34"/>
        <v>3.4745524612506338</v>
      </c>
      <c r="J131" s="15">
        <f t="shared" si="42"/>
        <v>-1</v>
      </c>
      <c r="K131" s="15">
        <f t="shared" si="43"/>
        <v>1466.8236147947266</v>
      </c>
      <c r="L131" s="35">
        <f t="shared" si="35"/>
        <v>1.7232841661771889E-4</v>
      </c>
      <c r="M131" s="14">
        <f t="shared" si="36"/>
        <v>0.68586150916359023</v>
      </c>
    </row>
    <row r="132" spans="1:13">
      <c r="A132" s="26">
        <f t="shared" si="37"/>
        <v>170</v>
      </c>
      <c r="B132" s="34">
        <f t="shared" si="38"/>
        <v>90</v>
      </c>
      <c r="C132" s="11">
        <f t="shared" si="39"/>
        <v>443.15</v>
      </c>
      <c r="D132" s="14">
        <f t="shared" si="40"/>
        <v>902.53732205322285</v>
      </c>
      <c r="E132" s="15">
        <f t="shared" si="41"/>
        <v>4.8756260387940051E-2</v>
      </c>
      <c r="F132" s="13">
        <f t="shared" si="31"/>
        <v>723.74738675035098</v>
      </c>
      <c r="G132" s="14">
        <f t="shared" si="32"/>
        <v>2.0315908706511752</v>
      </c>
      <c r="H132" s="15">
        <f t="shared" si="33"/>
        <v>4.3379905409605719</v>
      </c>
      <c r="I132" s="15">
        <f t="shared" si="34"/>
        <v>3.4316707016962091</v>
      </c>
      <c r="J132" s="15">
        <f t="shared" si="42"/>
        <v>-1</v>
      </c>
      <c r="K132" s="15">
        <f t="shared" si="43"/>
        <v>1442.925953319155</v>
      </c>
      <c r="L132" s="35">
        <f t="shared" si="35"/>
        <v>1.615834937131931E-4</v>
      </c>
      <c r="M132" s="14">
        <f t="shared" si="36"/>
        <v>0.68311876177852848</v>
      </c>
    </row>
    <row r="133" spans="1:13">
      <c r="A133" s="26">
        <f t="shared" si="37"/>
        <v>180</v>
      </c>
      <c r="B133" s="34">
        <f t="shared" si="38"/>
        <v>90</v>
      </c>
      <c r="C133" s="11">
        <f t="shared" si="39"/>
        <v>453.15</v>
      </c>
      <c r="D133" s="14">
        <f t="shared" si="40"/>
        <v>892.25050912499387</v>
      </c>
      <c r="E133" s="15">
        <f t="shared" si="41"/>
        <v>4.8230028960449783E-2</v>
      </c>
      <c r="F133" s="13">
        <f t="shared" si="31"/>
        <v>767.28914696183892</v>
      </c>
      <c r="G133" s="14">
        <f t="shared" si="32"/>
        <v>2.1287524272291942</v>
      </c>
      <c r="H133" s="15">
        <f t="shared" si="33"/>
        <v>4.3710991574210007</v>
      </c>
      <c r="I133" s="15">
        <f t="shared" si="34"/>
        <v>3.3901312875258278</v>
      </c>
      <c r="J133" s="15">
        <f t="shared" si="42"/>
        <v>-1</v>
      </c>
      <c r="K133" s="15">
        <f t="shared" si="43"/>
        <v>1416.9520433244529</v>
      </c>
      <c r="L133" s="35">
        <f t="shared" si="35"/>
        <v>1.5210943690690341E-4</v>
      </c>
      <c r="M133" s="14">
        <f t="shared" si="36"/>
        <v>0.6795398595377542</v>
      </c>
    </row>
    <row r="134" spans="1:13">
      <c r="A134" s="26">
        <f t="shared" si="37"/>
        <v>190</v>
      </c>
      <c r="B134" s="34">
        <f t="shared" si="38"/>
        <v>90</v>
      </c>
      <c r="C134" s="11">
        <f t="shared" si="39"/>
        <v>463.15</v>
      </c>
      <c r="D134" s="14">
        <f t="shared" si="40"/>
        <v>881.48814607319423</v>
      </c>
      <c r="E134" s="15">
        <f t="shared" si="41"/>
        <v>4.776482232910563E-2</v>
      </c>
      <c r="F134" s="13">
        <f t="shared" si="31"/>
        <v>811.18529905324237</v>
      </c>
      <c r="G134" s="14">
        <f t="shared" si="32"/>
        <v>2.224566474997216</v>
      </c>
      <c r="H134" s="15">
        <f t="shared" si="33"/>
        <v>4.4089913302401849</v>
      </c>
      <c r="I134" s="15">
        <f t="shared" si="34"/>
        <v>3.3500453126859924</v>
      </c>
      <c r="J134" s="15">
        <f t="shared" si="42"/>
        <v>-1</v>
      </c>
      <c r="K134" s="15">
        <f t="shared" si="43"/>
        <v>1388.9033026627271</v>
      </c>
      <c r="L134" s="35">
        <f t="shared" si="35"/>
        <v>1.4369463897332172E-4</v>
      </c>
      <c r="M134" s="14">
        <f t="shared" si="36"/>
        <v>0.67510327042847684</v>
      </c>
    </row>
    <row r="135" spans="1:13">
      <c r="A135" s="26">
        <f t="shared" si="37"/>
        <v>200</v>
      </c>
      <c r="B135" s="34">
        <f t="shared" si="38"/>
        <v>90</v>
      </c>
      <c r="C135" s="11">
        <f t="shared" si="39"/>
        <v>473.15</v>
      </c>
      <c r="D135" s="14">
        <f t="shared" si="40"/>
        <v>870.22053388270183</v>
      </c>
      <c r="E135" s="15">
        <f t="shared" si="41"/>
        <v>4.7360703005095303E-2</v>
      </c>
      <c r="F135" s="13">
        <f t="shared" si="31"/>
        <v>855.48761076095627</v>
      </c>
      <c r="G135" s="14">
        <f t="shared" si="32"/>
        <v>2.3192011487551776</v>
      </c>
      <c r="H135" s="15">
        <f t="shared" si="33"/>
        <v>4.4524808695384195</v>
      </c>
      <c r="I135" s="15">
        <f t="shared" si="34"/>
        <v>3.311532600822106</v>
      </c>
      <c r="J135" s="15">
        <f t="shared" si="42"/>
        <v>-1</v>
      </c>
      <c r="K135" s="15">
        <f t="shared" si="43"/>
        <v>1358.7634270979775</v>
      </c>
      <c r="L135" s="35">
        <f t="shared" si="35"/>
        <v>1.3616591547590168E-4</v>
      </c>
      <c r="M135" s="14">
        <f t="shared" si="36"/>
        <v>0.66977479975798826</v>
      </c>
    </row>
    <row r="136" spans="1:13">
      <c r="A136" s="26">
        <f t="shared" si="37"/>
        <v>210</v>
      </c>
      <c r="B136" s="34">
        <f t="shared" si="38"/>
        <v>90</v>
      </c>
      <c r="C136" s="11">
        <f t="shared" si="39"/>
        <v>483.15</v>
      </c>
      <c r="D136" s="14">
        <f t="shared" si="40"/>
        <v>858.41013565206731</v>
      </c>
      <c r="E136" s="15">
        <f t="shared" si="41"/>
        <v>4.7018578024393541E-2</v>
      </c>
      <c r="F136" s="13">
        <f t="shared" si="31"/>
        <v>900.25688811985992</v>
      </c>
      <c r="G136" s="14">
        <f t="shared" si="32"/>
        <v>2.4128329310412373</v>
      </c>
      <c r="H136" s="15">
        <f t="shared" si="33"/>
        <v>4.5025701813757069</v>
      </c>
      <c r="I136" s="15">
        <f t="shared" si="34"/>
        <v>3.2747193006216535</v>
      </c>
      <c r="J136" s="15">
        <f t="shared" si="42"/>
        <v>-1</v>
      </c>
      <c r="K136" s="15">
        <f t="shared" si="43"/>
        <v>1326.5013864557168</v>
      </c>
      <c r="L136" s="35">
        <f t="shared" si="35"/>
        <v>1.2937989414905831E-4</v>
      </c>
      <c r="M136" s="14">
        <f t="shared" si="36"/>
        <v>0.66350702492023905</v>
      </c>
    </row>
    <row r="137" spans="1:13">
      <c r="A137" s="26">
        <f t="shared" si="37"/>
        <v>220</v>
      </c>
      <c r="B137" s="34">
        <f t="shared" si="38"/>
        <v>90</v>
      </c>
      <c r="C137" s="11">
        <f t="shared" si="39"/>
        <v>493.15</v>
      </c>
      <c r="D137" s="14">
        <f t="shared" si="40"/>
        <v>846.00995334622257</v>
      </c>
      <c r="E137" s="15">
        <f t="shared" si="41"/>
        <v>4.6740332920515958E-2</v>
      </c>
      <c r="F137" s="13">
        <f t="shared" si="31"/>
        <v>945.56515642987085</v>
      </c>
      <c r="G137" s="14">
        <f t="shared" si="32"/>
        <v>2.5056504343175141</v>
      </c>
      <c r="H137" s="15">
        <f t="shared" si="33"/>
        <v>4.5605134898934123</v>
      </c>
      <c r="I137" s="15">
        <f t="shared" si="34"/>
        <v>3.2397355622837307</v>
      </c>
      <c r="J137" s="15">
        <f t="shared" si="42"/>
        <v>-1</v>
      </c>
      <c r="K137" s="15">
        <f t="shared" si="43"/>
        <v>1292.0714884216145</v>
      </c>
      <c r="L137" s="35">
        <f t="shared" si="35"/>
        <v>1.2321640057718136E-4</v>
      </c>
      <c r="M137" s="14">
        <f t="shared" si="36"/>
        <v>0.65623771461896874</v>
      </c>
    </row>
    <row r="138" spans="1:13">
      <c r="A138" s="26">
        <f t="shared" si="37"/>
        <v>230</v>
      </c>
      <c r="B138" s="34">
        <f t="shared" si="38"/>
        <v>90</v>
      </c>
      <c r="C138" s="11">
        <f t="shared" si="39"/>
        <v>503.15</v>
      </c>
      <c r="D138" s="14">
        <f t="shared" si="40"/>
        <v>832.96121678419468</v>
      </c>
      <c r="E138" s="15">
        <f t="shared" si="41"/>
        <v>4.6529035870633201E-2</v>
      </c>
      <c r="F138" s="13">
        <f t="shared" si="31"/>
        <v>991.4986235175237</v>
      </c>
      <c r="G138" s="14">
        <f t="shared" si="32"/>
        <v>2.5978593730393826</v>
      </c>
      <c r="H138" s="15">
        <f t="shared" si="33"/>
        <v>4.6279127261627222</v>
      </c>
      <c r="I138" s="15">
        <f t="shared" si="34"/>
        <v>3.2067153434660396</v>
      </c>
      <c r="J138" s="15">
        <f t="shared" si="42"/>
        <v>-1</v>
      </c>
      <c r="K138" s="15">
        <f t="shared" si="43"/>
        <v>1255.4079509365752</v>
      </c>
      <c r="L138" s="35">
        <f t="shared" si="35"/>
        <v>1.1757326944347265E-4</v>
      </c>
      <c r="M138" s="14">
        <f t="shared" si="36"/>
        <v>0.64788751594286198</v>
      </c>
    </row>
    <row r="139" spans="1:13">
      <c r="A139" s="26">
        <f t="shared" si="37"/>
        <v>240</v>
      </c>
      <c r="B139" s="34">
        <f t="shared" si="38"/>
        <v>90</v>
      </c>
      <c r="C139" s="11">
        <f t="shared" si="39"/>
        <v>513.15</v>
      </c>
      <c r="D139" s="14">
        <f t="shared" si="40"/>
        <v>819.19001002090363</v>
      </c>
      <c r="E139" s="15">
        <f t="shared" si="41"/>
        <v>4.6389247827389214E-2</v>
      </c>
      <c r="F139" s="13">
        <f t="shared" si="31"/>
        <v>1038.16185040644</v>
      </c>
      <c r="G139" s="14">
        <f t="shared" si="32"/>
        <v>2.6896894211290086</v>
      </c>
      <c r="H139" s="15">
        <f t="shared" si="33"/>
        <v>4.7068679368789645</v>
      </c>
      <c r="I139" s="15">
        <f t="shared" si="34"/>
        <v>3.1758012035855465</v>
      </c>
      <c r="J139" s="15">
        <f t="shared" si="42"/>
        <v>-1</v>
      </c>
      <c r="K139" s="15">
        <f t="shared" si="43"/>
        <v>1216.410845314163</v>
      </c>
      <c r="L139" s="35">
        <f t="shared" si="35"/>
        <v>1.1236214831862696E-4</v>
      </c>
      <c r="M139" s="14">
        <f t="shared" si="36"/>
        <v>0.63835737846496654</v>
      </c>
    </row>
    <row r="140" spans="1:13">
      <c r="A140" s="26">
        <f t="shared" si="37"/>
        <v>250</v>
      </c>
      <c r="B140" s="34">
        <f t="shared" si="38"/>
        <v>90</v>
      </c>
      <c r="C140" s="11">
        <f t="shared" si="39"/>
        <v>523.15</v>
      </c>
      <c r="D140" s="14">
        <f t="shared" si="40"/>
        <v>804.6021770780111</v>
      </c>
      <c r="E140" s="15">
        <f t="shared" si="41"/>
        <v>4.6327501465836488E-2</v>
      </c>
      <c r="F140" s="13">
        <f t="shared" si="31"/>
        <v>1085.6838551061312</v>
      </c>
      <c r="G140" s="14">
        <f t="shared" si="32"/>
        <v>2.7814041360686437</v>
      </c>
      <c r="H140" s="15">
        <f t="shared" si="33"/>
        <v>4.8002224654933041</v>
      </c>
      <c r="I140" s="15">
        <f t="shared" si="34"/>
        <v>3.1471574582412183</v>
      </c>
      <c r="J140" s="15">
        <f t="shared" si="42"/>
        <v>-1</v>
      </c>
      <c r="K140" s="15">
        <f t="shared" si="43"/>
        <v>1174.9205722435181</v>
      </c>
      <c r="L140" s="35">
        <f t="shared" si="35"/>
        <v>1.0750493454288384E-4</v>
      </c>
      <c r="M140" s="14">
        <f t="shared" si="36"/>
        <v>0.62752649865820453</v>
      </c>
    </row>
    <row r="141" spans="1:13">
      <c r="A141" s="26">
        <f t="shared" si="37"/>
        <v>260</v>
      </c>
      <c r="B141" s="34">
        <f t="shared" si="38"/>
        <v>90</v>
      </c>
      <c r="C141" s="11">
        <f t="shared" si="39"/>
        <v>533.15</v>
      </c>
      <c r="D141" s="14">
        <f t="shared" si="40"/>
        <v>789.07533332990363</v>
      </c>
      <c r="E141" s="15">
        <f t="shared" si="41"/>
        <v>4.6353062248918782E-2</v>
      </c>
      <c r="F141" s="13">
        <f t="shared" si="31"/>
        <v>1134.2274374113038</v>
      </c>
      <c r="G141" s="14">
        <f t="shared" si="32"/>
        <v>2.873316037804813</v>
      </c>
      <c r="H141" s="15">
        <f t="shared" si="33"/>
        <v>4.9119792552832182</v>
      </c>
      <c r="I141" s="15">
        <f t="shared" si="34"/>
        <v>3.1209971753334056</v>
      </c>
      <c r="J141" s="15">
        <f t="shared" si="42"/>
        <v>-1</v>
      </c>
      <c r="K141" s="15">
        <f t="shared" si="43"/>
        <v>1130.6781387280068</v>
      </c>
      <c r="L141" s="35">
        <f t="shared" si="35"/>
        <v>1.0293050152533913E-4</v>
      </c>
      <c r="M141" s="14">
        <f t="shared" si="36"/>
        <v>0.6152520202409556</v>
      </c>
    </row>
    <row r="142" spans="1:13">
      <c r="A142" s="26">
        <f t="shared" si="37"/>
        <v>270</v>
      </c>
      <c r="B142" s="34">
        <f t="shared" si="38"/>
        <v>90</v>
      </c>
      <c r="C142" s="11">
        <f t="shared" si="39"/>
        <v>543.15</v>
      </c>
      <c r="D142" s="14">
        <f t="shared" si="40"/>
        <v>772.44582025859938</v>
      </c>
      <c r="E142" s="15">
        <f t="shared" si="41"/>
        <v>4.6479184556313814E-2</v>
      </c>
      <c r="F142" s="13">
        <f t="shared" si="31"/>
        <v>1184.0041063279727</v>
      </c>
      <c r="G142" s="14">
        <f t="shared" si="32"/>
        <v>2.9658106895496279</v>
      </c>
      <c r="H142" s="15">
        <f t="shared" si="33"/>
        <v>5.0480405185080359</v>
      </c>
      <c r="I142" s="15">
        <f t="shared" si="34"/>
        <v>3.0976397967071021</v>
      </c>
      <c r="J142" s="15">
        <f t="shared" si="42"/>
        <v>-1</v>
      </c>
      <c r="K142" s="15">
        <f t="shared" si="43"/>
        <v>1083.2637453856005</v>
      </c>
      <c r="L142" s="35">
        <f t="shared" si="35"/>
        <v>9.8571312694548384E-5</v>
      </c>
      <c r="M142" s="14">
        <f t="shared" si="36"/>
        <v>0.60137215127679233</v>
      </c>
    </row>
    <row r="143" spans="1:13">
      <c r="A143" s="26">
        <f t="shared" si="37"/>
        <v>280</v>
      </c>
      <c r="B143" s="34">
        <f t="shared" si="38"/>
        <v>90</v>
      </c>
      <c r="C143" s="11">
        <f t="shared" si="39"/>
        <v>553.15</v>
      </c>
      <c r="D143" s="14">
        <f t="shared" si="40"/>
        <v>754.48636530042188</v>
      </c>
      <c r="E143" s="15">
        <f t="shared" si="41"/>
        <v>4.6725289290804592E-2</v>
      </c>
      <c r="F143" s="13">
        <f t="shared" si="31"/>
        <v>1235.2992650895319</v>
      </c>
      <c r="G143" s="14">
        <f t="shared" si="32"/>
        <v>3.0593872793633756</v>
      </c>
      <c r="H143" s="15">
        <f t="shared" si="33"/>
        <v>5.2175985685587456</v>
      </c>
      <c r="I143" s="15">
        <f t="shared" si="34"/>
        <v>3.0776381202219305</v>
      </c>
      <c r="J143" s="15">
        <f t="shared" si="42"/>
        <v>-1</v>
      </c>
      <c r="K143" s="15">
        <f t="shared" si="43"/>
        <v>1031.9977030622083</v>
      </c>
      <c r="L143" s="35">
        <f t="shared" si="35"/>
        <v>9.4359323217762527E-5</v>
      </c>
      <c r="M143" s="14">
        <f t="shared" si="36"/>
        <v>0.58571410482036745</v>
      </c>
    </row>
    <row r="144" spans="1:13">
      <c r="A144" s="26">
        <f t="shared" si="37"/>
        <v>290</v>
      </c>
      <c r="B144" s="34">
        <f t="shared" si="38"/>
        <v>90</v>
      </c>
      <c r="C144" s="11">
        <f t="shared" si="39"/>
        <v>563.15</v>
      </c>
      <c r="D144" s="14">
        <f t="shared" si="40"/>
        <v>734.86559656194424</v>
      </c>
      <c r="E144" s="15">
        <f t="shared" si="41"/>
        <v>4.7120979235253629E-2</v>
      </c>
      <c r="F144" s="13">
        <f t="shared" si="31"/>
        <v>1288.5174208951157</v>
      </c>
      <c r="G144" s="14">
        <f t="shared" si="32"/>
        <v>3.154731409889818</v>
      </c>
      <c r="H144" s="15">
        <f t="shared" si="33"/>
        <v>5.4359366147958372</v>
      </c>
      <c r="I144" s="15">
        <f t="shared" si="34"/>
        <v>3.0619512045943251</v>
      </c>
      <c r="J144" s="15">
        <f t="shared" si="42"/>
        <v>-1</v>
      </c>
      <c r="K144" s="15">
        <f t="shared" si="43"/>
        <v>975.83461805086995</v>
      </c>
      <c r="L144" s="35">
        <f t="shared" si="35"/>
        <v>9.0220081433667833E-5</v>
      </c>
      <c r="M144" s="14">
        <f t="shared" si="36"/>
        <v>0.56810596352230913</v>
      </c>
    </row>
    <row r="145" spans="1:13">
      <c r="A145" s="26">
        <f t="shared" si="37"/>
        <v>300</v>
      </c>
      <c r="B145" s="34">
        <f t="shared" si="38"/>
        <v>90</v>
      </c>
      <c r="C145" s="11">
        <f t="shared" si="39"/>
        <v>573.15</v>
      </c>
      <c r="D145" s="14">
        <f t="shared" si="40"/>
        <v>713.07082145031518</v>
      </c>
      <c r="E145" s="15">
        <f t="shared" si="41"/>
        <v>4.7713947575736881E-2</v>
      </c>
      <c r="F145" s="13">
        <f t="shared" si="31"/>
        <v>1344.2693172530855</v>
      </c>
      <c r="G145" s="14">
        <f t="shared" si="32"/>
        <v>3.2528551950948614</v>
      </c>
      <c r="H145" s="15">
        <f t="shared" si="33"/>
        <v>5.7304724911254565</v>
      </c>
      <c r="I145" s="15">
        <f t="shared" si="34"/>
        <v>3.0516566789743509</v>
      </c>
      <c r="J145" s="15">
        <f t="shared" si="42"/>
        <v>-1</v>
      </c>
      <c r="K145" s="15">
        <f t="shared" si="43"/>
        <v>913.53615288287904</v>
      </c>
      <c r="L145" s="35">
        <f t="shared" si="35"/>
        <v>8.6062991200832733E-5</v>
      </c>
      <c r="M145" s="14">
        <f t="shared" si="36"/>
        <v>0.54838783505872801</v>
      </c>
    </row>
    <row r="146" spans="1:13">
      <c r="A146" s="26">
        <f t="shared" si="37"/>
        <v>310</v>
      </c>
      <c r="B146" s="34">
        <f t="shared" si="38"/>
        <v>90</v>
      </c>
      <c r="C146" s="11">
        <f t="shared" si="39"/>
        <v>583.15</v>
      </c>
      <c r="D146" s="14">
        <f t="shared" si="40"/>
        <v>46.621648606813125</v>
      </c>
      <c r="E146" s="15">
        <f t="shared" si="41"/>
        <v>0.71726296110625076</v>
      </c>
      <c r="F146" s="13">
        <f t="shared" si="31"/>
        <v>2782.6129255109049</v>
      </c>
      <c r="G146" s="14">
        <f t="shared" si="32"/>
        <v>5.7475436461066565</v>
      </c>
      <c r="H146" s="15">
        <f t="shared" si="33"/>
        <v>5.5578463996269232</v>
      </c>
      <c r="I146" s="15">
        <f t="shared" si="34"/>
        <v>2.7656101138621052</v>
      </c>
      <c r="J146" s="15">
        <f t="shared" si="42"/>
        <v>1.253683437809302</v>
      </c>
      <c r="K146" s="15">
        <f t="shared" si="43"/>
        <v>491.95047656366239</v>
      </c>
      <c r="L146" s="35">
        <f t="shared" si="35"/>
        <v>2.0162508910546948E-5</v>
      </c>
      <c r="M146" s="14">
        <f t="shared" si="36"/>
        <v>6.9391127842055159E-2</v>
      </c>
    </row>
    <row r="147" spans="1:13">
      <c r="A147" s="26">
        <f t="shared" si="37"/>
        <v>320</v>
      </c>
      <c r="B147" s="34">
        <f t="shared" si="38"/>
        <v>90</v>
      </c>
      <c r="C147" s="11">
        <f t="shared" si="39"/>
        <v>593.15</v>
      </c>
      <c r="D147" s="14">
        <f t="shared" si="40"/>
        <v>44.033064198428853</v>
      </c>
      <c r="E147" s="15">
        <f t="shared" si="41"/>
        <v>0.7466255854259215</v>
      </c>
      <c r="F147" s="13">
        <f t="shared" si="31"/>
        <v>2833.8936169586118</v>
      </c>
      <c r="G147" s="14">
        <f t="shared" si="32"/>
        <v>5.834754457441325</v>
      </c>
      <c r="H147" s="15">
        <f t="shared" si="33"/>
        <v>4.7670289234040677</v>
      </c>
      <c r="I147" s="15">
        <f t="shared" si="34"/>
        <v>2.5472159738197018</v>
      </c>
      <c r="J147" s="15">
        <f t="shared" si="42"/>
        <v>1.2630696164405726</v>
      </c>
      <c r="K147" s="15">
        <f t="shared" si="43"/>
        <v>508.0956123433437</v>
      </c>
      <c r="L147" s="35">
        <f t="shared" si="35"/>
        <v>2.0658499076011035E-5</v>
      </c>
      <c r="M147" s="14">
        <f t="shared" si="36"/>
        <v>6.7336060607116832E-2</v>
      </c>
    </row>
    <row r="148" spans="1:13">
      <c r="A148" s="26">
        <f t="shared" si="37"/>
        <v>330</v>
      </c>
      <c r="B148" s="34">
        <f t="shared" si="38"/>
        <v>90</v>
      </c>
      <c r="C148" s="11">
        <f t="shared" si="39"/>
        <v>603.15</v>
      </c>
      <c r="D148" s="14">
        <f t="shared" si="40"/>
        <v>41.957686203652166</v>
      </c>
      <c r="E148" s="15">
        <f t="shared" si="41"/>
        <v>0.7705653012182575</v>
      </c>
      <c r="F148" s="13">
        <f t="shared" si="31"/>
        <v>2878.8676734932596</v>
      </c>
      <c r="G148" s="14">
        <f t="shared" si="32"/>
        <v>5.9099565725532157</v>
      </c>
      <c r="H148" s="15">
        <f t="shared" si="33"/>
        <v>4.2598817144524155</v>
      </c>
      <c r="I148" s="15">
        <f t="shared" si="34"/>
        <v>2.396863666316277</v>
      </c>
      <c r="J148" s="15">
        <f t="shared" si="42"/>
        <v>1.2687811278981591</v>
      </c>
      <c r="K148" s="15">
        <f t="shared" si="43"/>
        <v>521.685594484631</v>
      </c>
      <c r="L148" s="35">
        <f t="shared" si="35"/>
        <v>2.1148780711736878E-5</v>
      </c>
      <c r="M148" s="14">
        <f t="shared" si="36"/>
        <v>6.6079463860946472E-2</v>
      </c>
    </row>
    <row r="149" spans="1:13">
      <c r="A149" s="26">
        <f t="shared" si="37"/>
        <v>340</v>
      </c>
      <c r="B149" s="34">
        <f t="shared" si="38"/>
        <v>90</v>
      </c>
      <c r="C149" s="11">
        <f t="shared" si="39"/>
        <v>613.15</v>
      </c>
      <c r="D149" s="14">
        <f t="shared" si="40"/>
        <v>40.223111977317608</v>
      </c>
      <c r="E149" s="15">
        <f t="shared" si="41"/>
        <v>0.79068574816597004</v>
      </c>
      <c r="F149" s="13">
        <f t="shared" si="31"/>
        <v>2919.5833599586863</v>
      </c>
      <c r="G149" s="14">
        <f t="shared" si="32"/>
        <v>5.9769161920894467</v>
      </c>
      <c r="H149" s="15">
        <f t="shared" si="33"/>
        <v>3.9022928210178209</v>
      </c>
      <c r="I149" s="15">
        <f t="shared" si="34"/>
        <v>2.2841783858702467</v>
      </c>
      <c r="J149" s="15">
        <f t="shared" si="42"/>
        <v>1.2727961671663299</v>
      </c>
      <c r="K149" s="15">
        <f t="shared" si="43"/>
        <v>533.65778602349019</v>
      </c>
      <c r="L149" s="35">
        <f t="shared" si="35"/>
        <v>2.1633451505799881E-5</v>
      </c>
      <c r="M149" s="14">
        <f t="shared" si="36"/>
        <v>6.5333980464739386E-2</v>
      </c>
    </row>
    <row r="150" spans="1:13">
      <c r="A150" s="26">
        <f t="shared" si="37"/>
        <v>350</v>
      </c>
      <c r="B150" s="34">
        <f t="shared" si="38"/>
        <v>90</v>
      </c>
      <c r="C150" s="11">
        <f t="shared" si="39"/>
        <v>623.15</v>
      </c>
      <c r="D150" s="14">
        <f t="shared" si="40"/>
        <v>38.732091301313581</v>
      </c>
      <c r="E150" s="15">
        <f t="shared" si="41"/>
        <v>0.80794679998302144</v>
      </c>
      <c r="F150" s="13">
        <f t="shared" si="31"/>
        <v>2957.2186490303648</v>
      </c>
      <c r="G150" s="14">
        <f t="shared" si="32"/>
        <v>6.0378070436793916</v>
      </c>
      <c r="H150" s="15">
        <f t="shared" si="33"/>
        <v>3.6370234191999109</v>
      </c>
      <c r="I150" s="15">
        <f t="shared" si="34"/>
        <v>2.1969019419868054</v>
      </c>
      <c r="J150" s="15">
        <f t="shared" si="42"/>
        <v>1.2757269435328749</v>
      </c>
      <c r="K150" s="15">
        <f t="shared" si="43"/>
        <v>544.45832814458356</v>
      </c>
      <c r="L150" s="35">
        <f t="shared" si="35"/>
        <v>2.2112840790996367E-5</v>
      </c>
      <c r="M150" s="14">
        <f t="shared" si="36"/>
        <v>6.4947795462772809E-2</v>
      </c>
    </row>
    <row r="151" spans="1:13">
      <c r="A151" s="26">
        <f t="shared" si="37"/>
        <v>100</v>
      </c>
      <c r="B151" s="34">
        <f t="shared" si="38"/>
        <v>100</v>
      </c>
      <c r="C151" s="11">
        <f t="shared" si="39"/>
        <v>373.15</v>
      </c>
      <c r="D151" s="14">
        <f t="shared" si="40"/>
        <v>962.93160982794313</v>
      </c>
      <c r="E151" s="15">
        <f t="shared" si="41"/>
        <v>6.0301055315190623E-2</v>
      </c>
      <c r="F151" s="13">
        <f t="shared" ref="F151:F214" si="44">enthalpyw($C151,$B151)</f>
        <v>426.5480239296985</v>
      </c>
      <c r="G151" s="14">
        <f t="shared" ref="G151:G214" si="45">entropyw($C151,$B151)</f>
        <v>1.2993628176046439</v>
      </c>
      <c r="H151" s="15">
        <f t="shared" ref="H151:H214" si="46">cpw($C151,$B151)</f>
        <v>4.1944774639050584</v>
      </c>
      <c r="I151" s="15">
        <f t="shared" ref="I151:I214" si="47">cvw($C151,$B151)</f>
        <v>3.7533396013334244</v>
      </c>
      <c r="J151" s="15">
        <f t="shared" si="42"/>
        <v>-1</v>
      </c>
      <c r="K151" s="15">
        <f t="shared" si="43"/>
        <v>1565.1453351915447</v>
      </c>
      <c r="L151" s="35">
        <f t="shared" ref="L151:L214" si="48">viscw($C151,$B151)</f>
        <v>2.8439131460144282E-4</v>
      </c>
      <c r="M151" s="14">
        <f t="shared" ref="M151:M214" si="49">thconw($C151,$B151)</f>
        <v>0.68449693870995176</v>
      </c>
    </row>
    <row r="152" spans="1:13">
      <c r="A152" s="26">
        <f t="shared" si="37"/>
        <v>110</v>
      </c>
      <c r="B152" s="34">
        <f t="shared" si="38"/>
        <v>100</v>
      </c>
      <c r="C152" s="11">
        <f t="shared" si="39"/>
        <v>383.15</v>
      </c>
      <c r="D152" s="14">
        <f t="shared" si="40"/>
        <v>955.64438578660054</v>
      </c>
      <c r="E152" s="15">
        <f t="shared" si="41"/>
        <v>5.9175053518607391E-2</v>
      </c>
      <c r="F152" s="13">
        <f t="shared" si="44"/>
        <v>468.55530008819323</v>
      </c>
      <c r="G152" s="14">
        <f t="shared" si="45"/>
        <v>1.4104548232548295</v>
      </c>
      <c r="H152" s="15">
        <f t="shared" si="46"/>
        <v>4.2072990487871182</v>
      </c>
      <c r="I152" s="15">
        <f t="shared" si="47"/>
        <v>3.7045080052524004</v>
      </c>
      <c r="J152" s="15">
        <f t="shared" si="42"/>
        <v>-1</v>
      </c>
      <c r="K152" s="15">
        <f t="shared" si="43"/>
        <v>1555.4071742335429</v>
      </c>
      <c r="L152" s="35">
        <f t="shared" si="48"/>
        <v>2.5731255209437623E-4</v>
      </c>
      <c r="M152" s="14">
        <f t="shared" si="49"/>
        <v>0.68728183642758978</v>
      </c>
    </row>
    <row r="153" spans="1:13">
      <c r="A153" s="26">
        <f t="shared" si="37"/>
        <v>120</v>
      </c>
      <c r="B153" s="34">
        <f t="shared" si="38"/>
        <v>100</v>
      </c>
      <c r="C153" s="11">
        <f t="shared" si="39"/>
        <v>393.15</v>
      </c>
      <c r="D153" s="14">
        <f t="shared" si="40"/>
        <v>947.9339001583071</v>
      </c>
      <c r="E153" s="15">
        <f t="shared" si="41"/>
        <v>5.8138987899664596E-2</v>
      </c>
      <c r="F153" s="13">
        <f t="shared" si="44"/>
        <v>510.700653489697</v>
      </c>
      <c r="G153" s="14">
        <f t="shared" si="45"/>
        <v>1.519040078221479</v>
      </c>
      <c r="H153" s="15">
        <f t="shared" si="46"/>
        <v>4.222116950285522</v>
      </c>
      <c r="I153" s="15">
        <f t="shared" si="47"/>
        <v>3.6564275942770825</v>
      </c>
      <c r="J153" s="15">
        <f t="shared" si="42"/>
        <v>-1</v>
      </c>
      <c r="K153" s="15">
        <f t="shared" si="43"/>
        <v>1542.9586654308905</v>
      </c>
      <c r="L153" s="35">
        <f t="shared" si="48"/>
        <v>2.3461764064667916E-4</v>
      </c>
      <c r="M153" s="14">
        <f t="shared" si="49"/>
        <v>0.68897688645713828</v>
      </c>
    </row>
    <row r="154" spans="1:13">
      <c r="A154" s="26">
        <f t="shared" si="37"/>
        <v>130</v>
      </c>
      <c r="B154" s="34">
        <f t="shared" si="38"/>
        <v>100</v>
      </c>
      <c r="C154" s="11">
        <f t="shared" si="39"/>
        <v>403.15</v>
      </c>
      <c r="D154" s="14">
        <f t="shared" si="40"/>
        <v>939.8082239701165</v>
      </c>
      <c r="E154" s="15">
        <f t="shared" si="41"/>
        <v>5.718707670652326E-2</v>
      </c>
      <c r="F154" s="13">
        <f t="shared" si="44"/>
        <v>553.00485882374221</v>
      </c>
      <c r="G154" s="14">
        <f t="shared" si="45"/>
        <v>1.6252967000560186</v>
      </c>
      <c r="H154" s="15">
        <f t="shared" si="46"/>
        <v>4.2391027219997373</v>
      </c>
      <c r="I154" s="15">
        <f t="shared" si="47"/>
        <v>3.6092173153001568</v>
      </c>
      <c r="J154" s="15">
        <f t="shared" si="42"/>
        <v>-1</v>
      </c>
      <c r="K154" s="15">
        <f t="shared" si="43"/>
        <v>1528.0088572414695</v>
      </c>
      <c r="L154" s="35">
        <f t="shared" si="48"/>
        <v>2.1540644915472111E-4</v>
      </c>
      <c r="M154" s="14">
        <f t="shared" si="49"/>
        <v>0.68969003223521586</v>
      </c>
    </row>
    <row r="155" spans="1:13">
      <c r="A155" s="26">
        <f t="shared" si="37"/>
        <v>140</v>
      </c>
      <c r="B155" s="34">
        <f t="shared" si="38"/>
        <v>100</v>
      </c>
      <c r="C155" s="11">
        <f t="shared" si="39"/>
        <v>413.15</v>
      </c>
      <c r="D155" s="14">
        <f t="shared" si="40"/>
        <v>931.27042134286876</v>
      </c>
      <c r="E155" s="15">
        <f t="shared" si="41"/>
        <v>5.6314500410672791E-2</v>
      </c>
      <c r="F155" s="13">
        <f t="shared" si="44"/>
        <v>595.49069372609642</v>
      </c>
      <c r="G155" s="14">
        <f t="shared" si="45"/>
        <v>1.7293946168829317</v>
      </c>
      <c r="H155" s="15">
        <f t="shared" si="46"/>
        <v>4.2584863694627151</v>
      </c>
      <c r="I155" s="15">
        <f t="shared" si="47"/>
        <v>3.5629720289062252</v>
      </c>
      <c r="J155" s="15">
        <f t="shared" si="42"/>
        <v>-1</v>
      </c>
      <c r="K155" s="15">
        <f t="shared" si="43"/>
        <v>1510.7197122930681</v>
      </c>
      <c r="L155" s="35">
        <f t="shared" si="48"/>
        <v>1.989949194624661E-4</v>
      </c>
      <c r="M155" s="14">
        <f t="shared" si="49"/>
        <v>0.68949685584191445</v>
      </c>
    </row>
    <row r="156" spans="1:13">
      <c r="A156" s="26">
        <f t="shared" si="37"/>
        <v>150</v>
      </c>
      <c r="B156" s="34">
        <f t="shared" si="38"/>
        <v>100</v>
      </c>
      <c r="C156" s="11">
        <f t="shared" si="39"/>
        <v>423.15</v>
      </c>
      <c r="D156" s="14">
        <f t="shared" si="40"/>
        <v>922.31876354398526</v>
      </c>
      <c r="E156" s="15">
        <f t="shared" si="41"/>
        <v>5.551730973463706E-2</v>
      </c>
      <c r="F156" s="13">
        <f t="shared" si="44"/>
        <v>638.18355202298756</v>
      </c>
      <c r="G156" s="14">
        <f t="shared" si="45"/>
        <v>1.8314978176374661</v>
      </c>
      <c r="H156" s="15">
        <f t="shared" si="46"/>
        <v>4.2805621129139926</v>
      </c>
      <c r="I156" s="15">
        <f t="shared" si="47"/>
        <v>3.5177772679848434</v>
      </c>
      <c r="J156" s="15">
        <f t="shared" si="42"/>
        <v>-1</v>
      </c>
      <c r="K156" s="15">
        <f t="shared" si="43"/>
        <v>1491.2114294127587</v>
      </c>
      <c r="L156" s="35">
        <f t="shared" si="48"/>
        <v>1.8485538125168616E-4</v>
      </c>
      <c r="M156" s="14">
        <f t="shared" si="49"/>
        <v>0.68844542422399679</v>
      </c>
    </row>
    <row r="157" spans="1:13">
      <c r="A157" s="26">
        <f t="shared" si="37"/>
        <v>160</v>
      </c>
      <c r="B157" s="34">
        <f t="shared" si="38"/>
        <v>100</v>
      </c>
      <c r="C157" s="11">
        <f t="shared" si="39"/>
        <v>433.15</v>
      </c>
      <c r="D157" s="14">
        <f t="shared" si="40"/>
        <v>912.94676671526202</v>
      </c>
      <c r="E157" s="15">
        <f t="shared" si="41"/>
        <v>5.4792362749110229E-2</v>
      </c>
      <c r="F157" s="13">
        <f t="shared" si="44"/>
        <v>681.11211780103076</v>
      </c>
      <c r="G157" s="14">
        <f t="shared" si="45"/>
        <v>1.9317664815054902</v>
      </c>
      <c r="H157" s="15">
        <f t="shared" si="46"/>
        <v>4.3056950515501971</v>
      </c>
      <c r="I157" s="15">
        <f t="shared" si="47"/>
        <v>3.4737189640345716</v>
      </c>
      <c r="J157" s="15">
        <f t="shared" si="42"/>
        <v>-1</v>
      </c>
      <c r="K157" s="15">
        <f t="shared" si="43"/>
        <v>1469.5675512227899</v>
      </c>
      <c r="L157" s="35">
        <f t="shared" si="48"/>
        <v>1.7257532451768329E-4</v>
      </c>
      <c r="M157" s="14">
        <f t="shared" si="49"/>
        <v>0.68656127498547748</v>
      </c>
    </row>
    <row r="158" spans="1:13">
      <c r="A158" s="26">
        <f t="shared" si="37"/>
        <v>170</v>
      </c>
      <c r="B158" s="34">
        <f t="shared" si="38"/>
        <v>100</v>
      </c>
      <c r="C158" s="11">
        <f t="shared" si="39"/>
        <v>443.15</v>
      </c>
      <c r="D158" s="14">
        <f t="shared" si="40"/>
        <v>903.14305864631876</v>
      </c>
      <c r="E158" s="15">
        <f t="shared" si="41"/>
        <v>5.4137288491909331E-2</v>
      </c>
      <c r="F158" s="13">
        <f t="shared" si="44"/>
        <v>724.30911703359743</v>
      </c>
      <c r="G158" s="14">
        <f t="shared" si="45"/>
        <v>2.0303590412387273</v>
      </c>
      <c r="H158" s="15">
        <f t="shared" si="46"/>
        <v>4.3343302646248452</v>
      </c>
      <c r="I158" s="15">
        <f t="shared" si="47"/>
        <v>3.4308893610418387</v>
      </c>
      <c r="J158" s="15">
        <f t="shared" si="42"/>
        <v>-1</v>
      </c>
      <c r="K158" s="15">
        <f t="shared" si="43"/>
        <v>1445.8399422518339</v>
      </c>
      <c r="L158" s="35">
        <f t="shared" si="48"/>
        <v>1.6182830276911055E-4</v>
      </c>
      <c r="M158" s="14">
        <f t="shared" si="49"/>
        <v>0.68385172947335404</v>
      </c>
    </row>
    <row r="159" spans="1:13">
      <c r="A159" s="26">
        <f t="shared" si="37"/>
        <v>180</v>
      </c>
      <c r="B159" s="34">
        <f t="shared" si="38"/>
        <v>100</v>
      </c>
      <c r="C159" s="11">
        <f t="shared" si="39"/>
        <v>453.15</v>
      </c>
      <c r="D159" s="14">
        <f t="shared" si="40"/>
        <v>892.89106498498222</v>
      </c>
      <c r="E159" s="15">
        <f t="shared" si="41"/>
        <v>5.3550476626667287E-2</v>
      </c>
      <c r="F159" s="13">
        <f t="shared" si="44"/>
        <v>767.81217895955228</v>
      </c>
      <c r="G159" s="14">
        <f t="shared" si="45"/>
        <v>2.1274342609946104</v>
      </c>
      <c r="H159" s="15">
        <f t="shared" si="46"/>
        <v>4.3670059440461628</v>
      </c>
      <c r="I159" s="15">
        <f t="shared" si="47"/>
        <v>3.3893899888914132</v>
      </c>
      <c r="J159" s="15">
        <f t="shared" si="42"/>
        <v>-1</v>
      </c>
      <c r="K159" s="15">
        <f t="shared" si="43"/>
        <v>1420.0536787003493</v>
      </c>
      <c r="L159" s="35">
        <f t="shared" si="48"/>
        <v>1.5235300294555605E-4</v>
      </c>
      <c r="M159" s="14">
        <f t="shared" si="49"/>
        <v>0.68030911238363212</v>
      </c>
    </row>
    <row r="160" spans="1:13">
      <c r="A160" s="26">
        <f t="shared" si="37"/>
        <v>190</v>
      </c>
      <c r="B160" s="34">
        <f t="shared" si="38"/>
        <v>100</v>
      </c>
      <c r="C160" s="11">
        <f t="shared" si="39"/>
        <v>463.15</v>
      </c>
      <c r="D160" s="14">
        <f t="shared" si="40"/>
        <v>882.168489760125</v>
      </c>
      <c r="E160" s="15">
        <f t="shared" si="41"/>
        <v>5.3031094741257147E-2</v>
      </c>
      <c r="F160" s="13">
        <f t="shared" si="44"/>
        <v>811.6648567106821</v>
      </c>
      <c r="G160" s="14">
        <f t="shared" si="45"/>
        <v>2.2231534347842623</v>
      </c>
      <c r="H160" s="15">
        <f t="shared" si="46"/>
        <v>4.4043724755998026</v>
      </c>
      <c r="I160" s="15">
        <f t="shared" si="47"/>
        <v>3.3493323083534503</v>
      </c>
      <c r="J160" s="15">
        <f t="shared" si="42"/>
        <v>-1</v>
      </c>
      <c r="K160" s="15">
        <f t="shared" si="43"/>
        <v>1392.2118009035153</v>
      </c>
      <c r="L160" s="35">
        <f t="shared" si="48"/>
        <v>1.4393792964364615E-4</v>
      </c>
      <c r="M160" s="14">
        <f t="shared" si="49"/>
        <v>0.67591271073698622</v>
      </c>
    </row>
    <row r="161" spans="1:13">
      <c r="A161" s="26">
        <f t="shared" si="37"/>
        <v>200</v>
      </c>
      <c r="B161" s="34">
        <f t="shared" si="38"/>
        <v>100</v>
      </c>
      <c r="C161" s="11">
        <f t="shared" si="39"/>
        <v>473.15</v>
      </c>
      <c r="D161" s="14">
        <f t="shared" si="40"/>
        <v>870.94654570108401</v>
      </c>
      <c r="E161" s="15">
        <f t="shared" si="41"/>
        <v>5.2579137360615903E-2</v>
      </c>
      <c r="F161" s="13">
        <f t="shared" si="44"/>
        <v>855.91787899919552</v>
      </c>
      <c r="G161" s="14">
        <f t="shared" si="45"/>
        <v>2.3176828433981456</v>
      </c>
      <c r="H161" s="15">
        <f t="shared" si="46"/>
        <v>4.447220094237462</v>
      </c>
      <c r="I161" s="15">
        <f t="shared" si="47"/>
        <v>3.3108365298879461</v>
      </c>
      <c r="J161" s="15">
        <f t="shared" si="42"/>
        <v>-1</v>
      </c>
      <c r="K161" s="15">
        <f t="shared" si="43"/>
        <v>1362.2996578773359</v>
      </c>
      <c r="L161" s="35">
        <f t="shared" si="48"/>
        <v>1.3641001830811691E-4</v>
      </c>
      <c r="M161" s="14">
        <f t="shared" si="49"/>
        <v>0.67062946363164555</v>
      </c>
    </row>
    <row r="162" spans="1:13">
      <c r="A162" s="26">
        <f t="shared" si="37"/>
        <v>210</v>
      </c>
      <c r="B162" s="34">
        <f t="shared" si="38"/>
        <v>100</v>
      </c>
      <c r="C162" s="11">
        <f t="shared" si="39"/>
        <v>483.15</v>
      </c>
      <c r="D162" s="14">
        <f t="shared" si="40"/>
        <v>859.18886160112197</v>
      </c>
      <c r="E162" s="15">
        <f t="shared" si="41"/>
        <v>5.2195514143773956E-2</v>
      </c>
      <c r="F162" s="13">
        <f t="shared" si="44"/>
        <v>900.6307369534677</v>
      </c>
      <c r="G162" s="14">
        <f t="shared" si="45"/>
        <v>2.4111966549613673</v>
      </c>
      <c r="H162" s="15">
        <f t="shared" si="46"/>
        <v>4.4965190802088282</v>
      </c>
      <c r="I162" s="15">
        <f t="shared" si="47"/>
        <v>3.2740292432358031</v>
      </c>
      <c r="J162" s="15">
        <f t="shared" si="42"/>
        <v>-1</v>
      </c>
      <c r="K162" s="15">
        <f t="shared" si="43"/>
        <v>1330.2881181091109</v>
      </c>
      <c r="L162" s="35">
        <f t="shared" si="48"/>
        <v>1.2962603740672958E-4</v>
      </c>
      <c r="M162" s="14">
        <f t="shared" si="49"/>
        <v>0.66441347675731577</v>
      </c>
    </row>
    <row r="163" spans="1:13">
      <c r="A163" s="26">
        <f t="shared" si="37"/>
        <v>220</v>
      </c>
      <c r="B163" s="34">
        <f t="shared" si="38"/>
        <v>100</v>
      </c>
      <c r="C163" s="11">
        <f t="shared" si="39"/>
        <v>493.15</v>
      </c>
      <c r="D163" s="14">
        <f t="shared" si="40"/>
        <v>846.8499481033748</v>
      </c>
      <c r="E163" s="15">
        <f t="shared" si="41"/>
        <v>5.1882189941459031E-2</v>
      </c>
      <c r="F163" s="13">
        <f t="shared" si="44"/>
        <v>945.87376098215054</v>
      </c>
      <c r="G163" s="14">
        <f t="shared" si="45"/>
        <v>2.5038805317010659</v>
      </c>
      <c r="H163" s="15">
        <f t="shared" si="46"/>
        <v>4.5534789397564737</v>
      </c>
      <c r="I163" s="15">
        <f t="shared" si="47"/>
        <v>3.2390409741179429</v>
      </c>
      <c r="J163" s="15">
        <f t="shared" si="42"/>
        <v>-1</v>
      </c>
      <c r="K163" s="15">
        <f t="shared" si="43"/>
        <v>1296.1341686420446</v>
      </c>
      <c r="L163" s="35">
        <f t="shared" si="48"/>
        <v>1.2346598847307153E-4</v>
      </c>
      <c r="M163" s="14">
        <f t="shared" si="49"/>
        <v>0.65720454023576169</v>
      </c>
    </row>
    <row r="164" spans="1:13">
      <c r="A164" s="26">
        <f t="shared" si="37"/>
        <v>230</v>
      </c>
      <c r="B164" s="34">
        <f t="shared" si="38"/>
        <v>100</v>
      </c>
      <c r="C164" s="11">
        <f t="shared" si="39"/>
        <v>503.15</v>
      </c>
      <c r="D164" s="14">
        <f t="shared" si="40"/>
        <v>833.87302370976693</v>
      </c>
      <c r="E164" s="15">
        <f t="shared" si="41"/>
        <v>5.1642398026520389E-2</v>
      </c>
      <c r="F164" s="13">
        <f t="shared" si="44"/>
        <v>991.73092762838144</v>
      </c>
      <c r="G164" s="14">
        <f t="shared" si="45"/>
        <v>2.5959363392796333</v>
      </c>
      <c r="H164" s="15">
        <f t="shared" si="46"/>
        <v>4.6196376200478229</v>
      </c>
      <c r="I164" s="15">
        <f t="shared" si="47"/>
        <v>3.2060055957460971</v>
      </c>
      <c r="J164" s="15">
        <f t="shared" si="42"/>
        <v>-1</v>
      </c>
      <c r="K164" s="15">
        <f t="shared" si="43"/>
        <v>1259.7764910866906</v>
      </c>
      <c r="L164" s="35">
        <f t="shared" si="48"/>
        <v>1.1782793671982865E-4</v>
      </c>
      <c r="M164" s="14">
        <f t="shared" si="49"/>
        <v>0.64892593710448754</v>
      </c>
    </row>
    <row r="165" spans="1:13">
      <c r="A165" s="26">
        <f t="shared" si="37"/>
        <v>240</v>
      </c>
      <c r="B165" s="34">
        <f t="shared" si="38"/>
        <v>100</v>
      </c>
      <c r="C165" s="11">
        <f t="shared" si="39"/>
        <v>513.15</v>
      </c>
      <c r="D165" s="14">
        <f t="shared" si="40"/>
        <v>820.18686078217547</v>
      </c>
      <c r="E165" s="15">
        <f t="shared" si="41"/>
        <v>5.1480962868416372E-2</v>
      </c>
      <c r="F165" s="13">
        <f t="shared" si="44"/>
        <v>1038.3037855796983</v>
      </c>
      <c r="G165" s="14">
        <f t="shared" si="45"/>
        <v>2.6875885938396817</v>
      </c>
      <c r="H165" s="15">
        <f t="shared" si="46"/>
        <v>4.6970004567777579</v>
      </c>
      <c r="I165" s="15">
        <f t="shared" si="47"/>
        <v>3.1750643524080178</v>
      </c>
      <c r="J165" s="15">
        <f t="shared" si="42"/>
        <v>-1</v>
      </c>
      <c r="K165" s="15">
        <f t="shared" si="43"/>
        <v>1221.1229590209757</v>
      </c>
      <c r="L165" s="35">
        <f t="shared" si="48"/>
        <v>1.1262384429942263E-4</v>
      </c>
      <c r="M165" s="14">
        <f t="shared" si="49"/>
        <v>0.63948201269867899</v>
      </c>
    </row>
    <row r="166" spans="1:13">
      <c r="A166" s="26">
        <f t="shared" si="37"/>
        <v>250</v>
      </c>
      <c r="B166" s="34">
        <f t="shared" si="38"/>
        <v>100</v>
      </c>
      <c r="C166" s="11">
        <f t="shared" si="39"/>
        <v>523.15</v>
      </c>
      <c r="D166" s="14">
        <f t="shared" si="40"/>
        <v>805.70105659921262</v>
      </c>
      <c r="E166" s="15">
        <f t="shared" si="41"/>
        <v>5.1404795905777713E-2</v>
      </c>
      <c r="F166" s="13">
        <f t="shared" si="44"/>
        <v>1085.7171601475225</v>
      </c>
      <c r="G166" s="14">
        <f t="shared" si="45"/>
        <v>2.7790937170489824</v>
      </c>
      <c r="H166" s="15">
        <f t="shared" si="46"/>
        <v>4.7882649329885325</v>
      </c>
      <c r="I166" s="15">
        <f t="shared" si="47"/>
        <v>3.1463776261891017</v>
      </c>
      <c r="J166" s="15">
        <f t="shared" si="42"/>
        <v>-1</v>
      </c>
      <c r="K166" s="15">
        <f t="shared" si="43"/>
        <v>1180.0273183319678</v>
      </c>
      <c r="L166" s="35">
        <f t="shared" si="48"/>
        <v>1.0777605505941553E-4</v>
      </c>
      <c r="M166" s="14">
        <f t="shared" si="49"/>
        <v>0.62875628353994606</v>
      </c>
    </row>
    <row r="167" spans="1:13">
      <c r="A167" s="26">
        <f t="shared" si="37"/>
        <v>260</v>
      </c>
      <c r="B167" s="34">
        <f t="shared" si="38"/>
        <v>100</v>
      </c>
      <c r="C167" s="11">
        <f t="shared" si="39"/>
        <v>533.15</v>
      </c>
      <c r="D167" s="14">
        <f t="shared" si="40"/>
        <v>790.29867537405198</v>
      </c>
      <c r="E167" s="15">
        <f t="shared" si="41"/>
        <v>5.1423677858410427E-2</v>
      </c>
      <c r="F167" s="13">
        <f t="shared" si="44"/>
        <v>1134.1277970564074</v>
      </c>
      <c r="G167" s="14">
        <f t="shared" si="45"/>
        <v>2.8707539763762382</v>
      </c>
      <c r="H167" s="15">
        <f t="shared" si="46"/>
        <v>4.8971990415729421</v>
      </c>
      <c r="I167" s="15">
        <f t="shared" si="47"/>
        <v>3.1201485878124244</v>
      </c>
      <c r="J167" s="15">
        <f t="shared" si="42"/>
        <v>-1</v>
      </c>
      <c r="K167" s="15">
        <f t="shared" si="43"/>
        <v>1136.2531008779285</v>
      </c>
      <c r="L167" s="35">
        <f t="shared" si="48"/>
        <v>1.032141019138936E-4</v>
      </c>
      <c r="M167" s="14">
        <f t="shared" si="49"/>
        <v>0.61661131321353402</v>
      </c>
    </row>
    <row r="168" spans="1:13">
      <c r="A168" s="26">
        <f t="shared" si="37"/>
        <v>270</v>
      </c>
      <c r="B168" s="34">
        <f t="shared" si="38"/>
        <v>100</v>
      </c>
      <c r="C168" s="11">
        <f t="shared" si="39"/>
        <v>543.15</v>
      </c>
      <c r="D168" s="14">
        <f t="shared" si="40"/>
        <v>773.82434593309949</v>
      </c>
      <c r="E168" s="15">
        <f t="shared" si="41"/>
        <v>5.1551538261797654E-2</v>
      </c>
      <c r="F168" s="13">
        <f t="shared" si="44"/>
        <v>1183.7380692038118</v>
      </c>
      <c r="G168" s="14">
        <f t="shared" si="45"/>
        <v>2.962939531186358</v>
      </c>
      <c r="H168" s="15">
        <f t="shared" si="46"/>
        <v>5.0293062125303081</v>
      </c>
      <c r="I168" s="15">
        <f t="shared" si="47"/>
        <v>3.0966713465354156</v>
      </c>
      <c r="J168" s="15">
        <f t="shared" si="42"/>
        <v>-1</v>
      </c>
      <c r="K168" s="15">
        <f t="shared" si="43"/>
        <v>1089.419792408941</v>
      </c>
      <c r="L168" s="35">
        <f t="shared" si="48"/>
        <v>9.8871465463731858E-5</v>
      </c>
      <c r="M168" s="14">
        <f t="shared" si="49"/>
        <v>0.60289203629850652</v>
      </c>
    </row>
    <row r="169" spans="1:13">
      <c r="A169" s="26">
        <f t="shared" si="37"/>
        <v>280</v>
      </c>
      <c r="B169" s="34">
        <f t="shared" si="38"/>
        <v>100</v>
      </c>
      <c r="C169" s="11">
        <f t="shared" si="39"/>
        <v>553.15</v>
      </c>
      <c r="D169" s="14">
        <f t="shared" si="40"/>
        <v>756.064132327582</v>
      </c>
      <c r="E169" s="15">
        <f t="shared" si="41"/>
        <v>5.1808646878935882E-2</v>
      </c>
      <c r="F169" s="13">
        <f t="shared" si="44"/>
        <v>1234.818832904878</v>
      </c>
      <c r="G169" s="14">
        <f t="shared" si="45"/>
        <v>3.0561251457555105</v>
      </c>
      <c r="H169" s="15">
        <f t="shared" si="46"/>
        <v>5.1930574384503876</v>
      </c>
      <c r="I169" s="15">
        <f t="shared" si="47"/>
        <v>3.0764406382467269</v>
      </c>
      <c r="J169" s="15">
        <f t="shared" si="42"/>
        <v>-1</v>
      </c>
      <c r="K169" s="15">
        <f t="shared" si="43"/>
        <v>1038.9155532411735</v>
      </c>
      <c r="L169" s="35">
        <f t="shared" si="48"/>
        <v>9.4681752494169498E-5</v>
      </c>
      <c r="M169" s="14">
        <f t="shared" si="49"/>
        <v>0.5874341003372906</v>
      </c>
    </row>
    <row r="170" spans="1:13">
      <c r="A170" s="26">
        <f t="shared" si="37"/>
        <v>290</v>
      </c>
      <c r="B170" s="34">
        <f t="shared" si="38"/>
        <v>100</v>
      </c>
      <c r="C170" s="11">
        <f t="shared" si="39"/>
        <v>563.15</v>
      </c>
      <c r="D170" s="14">
        <f t="shared" si="40"/>
        <v>736.70955762535004</v>
      </c>
      <c r="E170" s="15">
        <f t="shared" si="41"/>
        <v>5.2225596547487603E-2</v>
      </c>
      <c r="F170" s="13">
        <f t="shared" si="44"/>
        <v>1287.7498664188408</v>
      </c>
      <c r="G170" s="14">
        <f t="shared" si="45"/>
        <v>3.1509550858499589</v>
      </c>
      <c r="H170" s="15">
        <f t="shared" si="46"/>
        <v>5.4023338454796992</v>
      </c>
      <c r="I170" s="15">
        <f t="shared" si="47"/>
        <v>3.0603443754218356</v>
      </c>
      <c r="J170" s="15">
        <f t="shared" si="42"/>
        <v>-1</v>
      </c>
      <c r="K170" s="15">
        <f t="shared" si="43"/>
        <v>983.77962665448422</v>
      </c>
      <c r="L170" s="35">
        <f t="shared" si="48"/>
        <v>9.0573347733477011E-5</v>
      </c>
      <c r="M170" s="14">
        <f t="shared" si="49"/>
        <v>0.57007673776404233</v>
      </c>
    </row>
    <row r="171" spans="1:13">
      <c r="A171" s="26">
        <f t="shared" si="37"/>
        <v>300</v>
      </c>
      <c r="B171" s="34">
        <f t="shared" si="38"/>
        <v>100</v>
      </c>
      <c r="C171" s="11">
        <f t="shared" si="39"/>
        <v>573.15</v>
      </c>
      <c r="D171" s="14">
        <f t="shared" si="40"/>
        <v>715.28955863298643</v>
      </c>
      <c r="E171" s="15">
        <f t="shared" si="41"/>
        <v>5.2851049980516152E-2</v>
      </c>
      <c r="F171" s="13">
        <f t="shared" si="44"/>
        <v>1343.0966090616598</v>
      </c>
      <c r="G171" s="14">
        <f t="shared" si="45"/>
        <v>3.248366132830792</v>
      </c>
      <c r="H171" s="15">
        <f t="shared" si="46"/>
        <v>5.6816319856887247</v>
      </c>
      <c r="I171" s="15">
        <f t="shared" si="47"/>
        <v>3.0496054581752223</v>
      </c>
      <c r="J171" s="15">
        <f t="shared" si="42"/>
        <v>-1</v>
      </c>
      <c r="K171" s="15">
        <f t="shared" si="43"/>
        <v>922.75539882999055</v>
      </c>
      <c r="L171" s="35">
        <f t="shared" si="48"/>
        <v>8.6460719730606367E-5</v>
      </c>
      <c r="M171" s="14">
        <f t="shared" si="49"/>
        <v>0.55067504394235023</v>
      </c>
    </row>
    <row r="172" spans="1:13">
      <c r="A172" s="26">
        <f t="shared" si="37"/>
        <v>310</v>
      </c>
      <c r="B172" s="34">
        <f t="shared" si="38"/>
        <v>100</v>
      </c>
      <c r="C172" s="11">
        <f t="shared" si="39"/>
        <v>583.15</v>
      </c>
      <c r="D172" s="14">
        <f t="shared" si="40"/>
        <v>691.03578523020917</v>
      </c>
      <c r="E172" s="15">
        <f t="shared" si="41"/>
        <v>5.3767888800011536E-2</v>
      </c>
      <c r="F172" s="13">
        <f t="shared" si="44"/>
        <v>1401.7679477049196</v>
      </c>
      <c r="G172" s="14">
        <f t="shared" si="45"/>
        <v>3.3498399870884881</v>
      </c>
      <c r="H172" s="15">
        <f t="shared" si="46"/>
        <v>6.0782291257643832</v>
      </c>
      <c r="I172" s="15">
        <f t="shared" si="47"/>
        <v>3.0444597780986125</v>
      </c>
      <c r="J172" s="15">
        <f t="shared" si="42"/>
        <v>-1</v>
      </c>
      <c r="K172" s="15">
        <f t="shared" si="43"/>
        <v>854.91839234902943</v>
      </c>
      <c r="L172" s="35">
        <f t="shared" si="48"/>
        <v>8.2228910626349039E-5</v>
      </c>
      <c r="M172" s="14">
        <f t="shared" si="49"/>
        <v>0.52910802802014101</v>
      </c>
    </row>
    <row r="173" spans="1:13">
      <c r="A173" s="26">
        <f t="shared" si="37"/>
        <v>320</v>
      </c>
      <c r="B173" s="34">
        <f t="shared" si="38"/>
        <v>100</v>
      </c>
      <c r="C173" s="11">
        <f t="shared" si="39"/>
        <v>593.15</v>
      </c>
      <c r="D173" s="14">
        <f t="shared" si="40"/>
        <v>51.889940197987265</v>
      </c>
      <c r="E173" s="15">
        <f t="shared" si="41"/>
        <v>0.70397315313075626</v>
      </c>
      <c r="F173" s="13">
        <f t="shared" si="44"/>
        <v>2782.6616842978965</v>
      </c>
      <c r="G173" s="14">
        <f t="shared" si="45"/>
        <v>5.713071566847236</v>
      </c>
      <c r="H173" s="15">
        <f t="shared" si="46"/>
        <v>5.7468050657005145</v>
      </c>
      <c r="I173" s="15">
        <f t="shared" si="47"/>
        <v>2.7771616474919054</v>
      </c>
      <c r="J173" s="15">
        <f t="shared" si="42"/>
        <v>1.2546098088229829</v>
      </c>
      <c r="K173" s="15">
        <f t="shared" si="43"/>
        <v>491.7142044734212</v>
      </c>
      <c r="L173" s="35">
        <f t="shared" si="48"/>
        <v>2.0702909337370518E-5</v>
      </c>
      <c r="M173" s="14">
        <f t="shared" si="49"/>
        <v>7.287240504467235E-2</v>
      </c>
    </row>
    <row r="174" spans="1:13">
      <c r="A174" s="26">
        <f t="shared" si="37"/>
        <v>330</v>
      </c>
      <c r="B174" s="34">
        <f t="shared" si="38"/>
        <v>100</v>
      </c>
      <c r="C174" s="11">
        <f t="shared" si="39"/>
        <v>603.15</v>
      </c>
      <c r="D174" s="14">
        <f t="shared" si="40"/>
        <v>48.908764629841748</v>
      </c>
      <c r="E174" s="15">
        <f t="shared" si="41"/>
        <v>0.7344999602293838</v>
      </c>
      <c r="F174" s="13">
        <f t="shared" si="44"/>
        <v>2835.6687475923518</v>
      </c>
      <c r="G174" s="14">
        <f t="shared" si="45"/>
        <v>5.8017110333531452</v>
      </c>
      <c r="H174" s="15">
        <f t="shared" si="46"/>
        <v>4.9227936475821013</v>
      </c>
      <c r="I174" s="15">
        <f t="shared" si="47"/>
        <v>2.5687297779779112</v>
      </c>
      <c r="J174" s="15">
        <f t="shared" si="42"/>
        <v>1.2631726245915778</v>
      </c>
      <c r="K174" s="15">
        <f t="shared" si="43"/>
        <v>508.20391448417354</v>
      </c>
      <c r="L174" s="35">
        <f t="shared" si="48"/>
        <v>2.1188499434362357E-5</v>
      </c>
      <c r="M174" s="14">
        <f t="shared" si="49"/>
        <v>7.0480254396419584E-2</v>
      </c>
    </row>
    <row r="175" spans="1:13">
      <c r="A175" s="26">
        <f t="shared" si="37"/>
        <v>340</v>
      </c>
      <c r="B175" s="34">
        <f t="shared" si="38"/>
        <v>100</v>
      </c>
      <c r="C175" s="11">
        <f t="shared" si="39"/>
        <v>613.15</v>
      </c>
      <c r="D175" s="14">
        <f t="shared" si="40"/>
        <v>46.533848860050597</v>
      </c>
      <c r="E175" s="15">
        <f t="shared" si="41"/>
        <v>0.75939563150634315</v>
      </c>
      <c r="F175" s="13">
        <f t="shared" si="44"/>
        <v>2882.0568795173494</v>
      </c>
      <c r="G175" s="14">
        <f t="shared" si="45"/>
        <v>5.8780022011933788</v>
      </c>
      <c r="H175" s="15">
        <f t="shared" si="46"/>
        <v>4.3885200841457817</v>
      </c>
      <c r="I175" s="15">
        <f t="shared" si="47"/>
        <v>2.4199502679538254</v>
      </c>
      <c r="J175" s="15">
        <f t="shared" si="42"/>
        <v>1.2687668519162341</v>
      </c>
      <c r="K175" s="15">
        <f t="shared" si="43"/>
        <v>522.16339615782408</v>
      </c>
      <c r="L175" s="35">
        <f t="shared" si="48"/>
        <v>2.1671478124964371E-5</v>
      </c>
      <c r="M175" s="14">
        <f t="shared" si="49"/>
        <v>6.8996135924042759E-2</v>
      </c>
    </row>
    <row r="176" spans="1:13">
      <c r="A176" s="26">
        <f t="shared" ref="A176:A239" si="50">A150</f>
        <v>350</v>
      </c>
      <c r="B176" s="34">
        <f t="shared" ref="B176:B239" si="51">B150+10</f>
        <v>100</v>
      </c>
      <c r="C176" s="11">
        <f t="shared" ref="C176:C239" si="52">A176+$E$13</f>
        <v>623.15</v>
      </c>
      <c r="D176" s="14">
        <f t="shared" ref="D176:D239" si="53">densw(C176,B176)</f>
        <v>44.558908663729916</v>
      </c>
      <c r="E176" s="15">
        <f t="shared" ref="E176:E239" si="54">B176*100*$E$11/($E$12*C176)/D176</f>
        <v>0.78032704126343788</v>
      </c>
      <c r="F176" s="13">
        <f t="shared" si="44"/>
        <v>2923.957846874323</v>
      </c>
      <c r="G176" s="14">
        <f t="shared" si="45"/>
        <v>5.9457963427354823</v>
      </c>
      <c r="H176" s="15">
        <f t="shared" si="46"/>
        <v>4.0117632059625663</v>
      </c>
      <c r="I176" s="15">
        <f t="shared" si="47"/>
        <v>2.307319803784381</v>
      </c>
      <c r="J176" s="15">
        <f t="shared" ref="J176:J239" si="55">isentropic_coeffW(C176,B176)</f>
        <v>1.2727842896774706</v>
      </c>
      <c r="K176" s="15">
        <f t="shared" ref="K176:K239" si="56">spsoundW(C176,B176)</f>
        <v>534.45375196801376</v>
      </c>
      <c r="L176" s="35">
        <f t="shared" si="48"/>
        <v>2.2150697143809602E-5</v>
      </c>
      <c r="M176" s="14">
        <f t="shared" si="49"/>
        <v>6.8087531491351133E-2</v>
      </c>
    </row>
    <row r="177" spans="1:13">
      <c r="A177" s="26">
        <f t="shared" si="50"/>
        <v>100</v>
      </c>
      <c r="B177" s="34">
        <f t="shared" si="51"/>
        <v>110</v>
      </c>
      <c r="C177" s="11">
        <f t="shared" si="52"/>
        <v>373.15</v>
      </c>
      <c r="D177" s="14">
        <f t="shared" si="53"/>
        <v>963.38719092373765</v>
      </c>
      <c r="E177" s="15">
        <f t="shared" si="54"/>
        <v>6.6299793164817544E-2</v>
      </c>
      <c r="F177" s="13">
        <f t="shared" si="44"/>
        <v>427.302067965481</v>
      </c>
      <c r="G177" s="14">
        <f t="shared" si="45"/>
        <v>1.2986011785413489</v>
      </c>
      <c r="H177" s="15">
        <f t="shared" si="46"/>
        <v>4.1923102876566078</v>
      </c>
      <c r="I177" s="15">
        <f t="shared" si="47"/>
        <v>3.751905520957715</v>
      </c>
      <c r="J177" s="15">
        <f t="shared" si="55"/>
        <v>-1</v>
      </c>
      <c r="K177" s="15">
        <f t="shared" si="56"/>
        <v>1567.1485415080588</v>
      </c>
      <c r="L177" s="35">
        <f t="shared" si="48"/>
        <v>2.8465860940774207E-4</v>
      </c>
      <c r="M177" s="14">
        <f t="shared" si="49"/>
        <v>0.68504120302021188</v>
      </c>
    </row>
    <row r="178" spans="1:13">
      <c r="A178" s="26">
        <f t="shared" si="50"/>
        <v>110</v>
      </c>
      <c r="B178" s="34">
        <f t="shared" si="51"/>
        <v>110</v>
      </c>
      <c r="C178" s="11">
        <f t="shared" si="52"/>
        <v>383.15</v>
      </c>
      <c r="D178" s="14">
        <f t="shared" si="53"/>
        <v>956.11315408311634</v>
      </c>
      <c r="E178" s="15">
        <f t="shared" si="54"/>
        <v>6.5060644940817383E-2</v>
      </c>
      <c r="F178" s="13">
        <f t="shared" si="44"/>
        <v>469.28722942657203</v>
      </c>
      <c r="G178" s="14">
        <f t="shared" si="45"/>
        <v>1.4096347049542661</v>
      </c>
      <c r="H178" s="15">
        <f t="shared" si="46"/>
        <v>4.2050382295950559</v>
      </c>
      <c r="I178" s="15">
        <f t="shared" si="47"/>
        <v>3.7032132913006586</v>
      </c>
      <c r="J178" s="15">
        <f t="shared" si="55"/>
        <v>-1</v>
      </c>
      <c r="K178" s="15">
        <f t="shared" si="56"/>
        <v>1557.504816479641</v>
      </c>
      <c r="L178" s="35">
        <f t="shared" si="48"/>
        <v>2.5757708551628117E-4</v>
      </c>
      <c r="M178" s="14">
        <f t="shared" si="49"/>
        <v>0.68784743051596697</v>
      </c>
    </row>
    <row r="179" spans="1:13">
      <c r="A179" s="26">
        <f t="shared" si="50"/>
        <v>120</v>
      </c>
      <c r="B179" s="34">
        <f t="shared" si="51"/>
        <v>110</v>
      </c>
      <c r="C179" s="11">
        <f t="shared" si="52"/>
        <v>393.15</v>
      </c>
      <c r="D179" s="14">
        <f t="shared" si="53"/>
        <v>948.41817518933158</v>
      </c>
      <c r="E179" s="15">
        <f t="shared" si="54"/>
        <v>6.392023148858586E-2</v>
      </c>
      <c r="F179" s="13">
        <f t="shared" si="44"/>
        <v>511.40937703321049</v>
      </c>
      <c r="G179" s="14">
        <f t="shared" si="45"/>
        <v>1.5181601778831595</v>
      </c>
      <c r="H179" s="15">
        <f t="shared" si="46"/>
        <v>4.2197312145659529</v>
      </c>
      <c r="I179" s="15">
        <f t="shared" si="47"/>
        <v>3.6552551633750658</v>
      </c>
      <c r="J179" s="15">
        <f t="shared" si="55"/>
        <v>-1</v>
      </c>
      <c r="K179" s="15">
        <f t="shared" si="56"/>
        <v>1545.1599032977126</v>
      </c>
      <c r="L179" s="35">
        <f t="shared" si="48"/>
        <v>2.3487843444984E-4</v>
      </c>
      <c r="M179" s="14">
        <f t="shared" si="49"/>
        <v>0.68956551572469327</v>
      </c>
    </row>
    <row r="180" spans="1:13">
      <c r="A180" s="26">
        <f t="shared" si="50"/>
        <v>130</v>
      </c>
      <c r="B180" s="34">
        <f t="shared" si="51"/>
        <v>110</v>
      </c>
      <c r="C180" s="11">
        <f t="shared" si="52"/>
        <v>403.15</v>
      </c>
      <c r="D180" s="14">
        <f t="shared" si="53"/>
        <v>940.31043355290672</v>
      </c>
      <c r="E180" s="15">
        <f t="shared" si="54"/>
        <v>6.2872187081431691E-2</v>
      </c>
      <c r="F180" s="13">
        <f t="shared" si="44"/>
        <v>553.68896046482359</v>
      </c>
      <c r="G180" s="14">
        <f t="shared" si="45"/>
        <v>1.6243549640433821</v>
      </c>
      <c r="H180" s="15">
        <f t="shared" si="46"/>
        <v>4.2365581314318268</v>
      </c>
      <c r="I180" s="15">
        <f t="shared" si="47"/>
        <v>3.6081513849446267</v>
      </c>
      <c r="J180" s="15">
        <f t="shared" si="55"/>
        <v>-1</v>
      </c>
      <c r="K180" s="15">
        <f t="shared" si="56"/>
        <v>1530.3237425027328</v>
      </c>
      <c r="L180" s="35">
        <f t="shared" si="48"/>
        <v>2.1566320617603688E-4</v>
      </c>
      <c r="M180" s="14">
        <f t="shared" si="49"/>
        <v>0.69030341491825797</v>
      </c>
    </row>
    <row r="181" spans="1:13">
      <c r="A181" s="26">
        <f t="shared" si="50"/>
        <v>140</v>
      </c>
      <c r="B181" s="34">
        <f t="shared" si="51"/>
        <v>110</v>
      </c>
      <c r="C181" s="11">
        <f t="shared" si="52"/>
        <v>413.15</v>
      </c>
      <c r="D181" s="14">
        <f t="shared" si="53"/>
        <v>931.79317033963366</v>
      </c>
      <c r="E181" s="15">
        <f t="shared" si="54"/>
        <v>6.1911197907416858E-2</v>
      </c>
      <c r="F181" s="13">
        <f t="shared" si="44"/>
        <v>596.14839922059559</v>
      </c>
      <c r="G181" s="14">
        <f t="shared" si="45"/>
        <v>1.728388214812054</v>
      </c>
      <c r="H181" s="15">
        <f t="shared" si="46"/>
        <v>4.2557450027390908</v>
      </c>
      <c r="I181" s="15">
        <f t="shared" si="47"/>
        <v>3.5619979897205969</v>
      </c>
      <c r="J181" s="15">
        <f t="shared" si="55"/>
        <v>-1</v>
      </c>
      <c r="K181" s="15">
        <f t="shared" si="56"/>
        <v>1513.1594455107843</v>
      </c>
      <c r="L181" s="35">
        <f t="shared" si="48"/>
        <v>1.9924776978077761E-4</v>
      </c>
      <c r="M181" s="14">
        <f t="shared" si="49"/>
        <v>0.69013675803503483</v>
      </c>
    </row>
    <row r="182" spans="1:13">
      <c r="A182" s="26">
        <f t="shared" si="50"/>
        <v>150</v>
      </c>
      <c r="B182" s="34">
        <f t="shared" si="51"/>
        <v>110</v>
      </c>
      <c r="C182" s="11">
        <f t="shared" si="52"/>
        <v>423.15</v>
      </c>
      <c r="D182" s="14">
        <f t="shared" si="53"/>
        <v>922.86490782400392</v>
      </c>
      <c r="E182" s="15">
        <f t="shared" si="54"/>
        <v>6.1032900524433373E-2</v>
      </c>
      <c r="F182" s="13">
        <f t="shared" si="44"/>
        <v>638.81268179834285</v>
      </c>
      <c r="G182" s="14">
        <f t="shared" si="45"/>
        <v>1.8304230853093932</v>
      </c>
      <c r="H182" s="15">
        <f t="shared" si="46"/>
        <v>4.277580549640895</v>
      </c>
      <c r="I182" s="15">
        <f t="shared" si="47"/>
        <v>3.5168815010539265</v>
      </c>
      <c r="J182" s="15">
        <f t="shared" si="55"/>
        <v>-1</v>
      </c>
      <c r="K182" s="15">
        <f t="shared" si="56"/>
        <v>1493.7885635884152</v>
      </c>
      <c r="L182" s="35">
        <f t="shared" si="48"/>
        <v>1.8510473121950479E-4</v>
      </c>
      <c r="M182" s="14">
        <f t="shared" si="49"/>
        <v>0.68911372557848072</v>
      </c>
    </row>
    <row r="183" spans="1:13">
      <c r="A183" s="26">
        <f t="shared" si="50"/>
        <v>160</v>
      </c>
      <c r="B183" s="34">
        <f t="shared" si="51"/>
        <v>110</v>
      </c>
      <c r="C183" s="11">
        <f t="shared" si="52"/>
        <v>433.15</v>
      </c>
      <c r="D183" s="14">
        <f t="shared" si="53"/>
        <v>913.51949653689621</v>
      </c>
      <c r="E183" s="15">
        <f t="shared" si="54"/>
        <v>6.0233811825948856E-2</v>
      </c>
      <c r="F183" s="13">
        <f t="shared" si="44"/>
        <v>681.71002305662512</v>
      </c>
      <c r="G183" s="14">
        <f t="shared" si="45"/>
        <v>1.9306188301546763</v>
      </c>
      <c r="H183" s="15">
        <f t="shared" si="46"/>
        <v>4.3024225221651946</v>
      </c>
      <c r="I183" s="15">
        <f t="shared" si="47"/>
        <v>3.4728886314829133</v>
      </c>
      <c r="J183" s="15">
        <f t="shared" si="55"/>
        <v>-1</v>
      </c>
      <c r="K183" s="15">
        <f t="shared" si="56"/>
        <v>1472.2961440319664</v>
      </c>
      <c r="L183" s="35">
        <f t="shared" si="48"/>
        <v>1.7282176828339787E-4</v>
      </c>
      <c r="M183" s="14">
        <f t="shared" si="49"/>
        <v>0.6872600709408575</v>
      </c>
    </row>
    <row r="184" spans="1:13">
      <c r="A184" s="26">
        <f t="shared" si="50"/>
        <v>170</v>
      </c>
      <c r="B184" s="34">
        <f t="shared" si="51"/>
        <v>110</v>
      </c>
      <c r="C184" s="11">
        <f t="shared" si="52"/>
        <v>443.15</v>
      </c>
      <c r="D184" s="14">
        <f t="shared" si="53"/>
        <v>903.74599634272215</v>
      </c>
      <c r="E184" s="15">
        <f t="shared" si="54"/>
        <v>5.9511287645633383E-2</v>
      </c>
      <c r="F184" s="13">
        <f t="shared" si="44"/>
        <v>724.87259498906542</v>
      </c>
      <c r="G184" s="14">
        <f t="shared" si="45"/>
        <v>2.0291328274891565</v>
      </c>
      <c r="H184" s="15">
        <f t="shared" si="46"/>
        <v>4.3307062979495523</v>
      </c>
      <c r="I184" s="15">
        <f t="shared" si="47"/>
        <v>3.4301122020785488</v>
      </c>
      <c r="J184" s="15">
        <f t="shared" si="55"/>
        <v>-1</v>
      </c>
      <c r="K184" s="15">
        <f t="shared" si="56"/>
        <v>1448.7356536861844</v>
      </c>
      <c r="L184" s="35">
        <f t="shared" si="48"/>
        <v>1.6207257290517266E-4</v>
      </c>
      <c r="M184" s="14">
        <f t="shared" si="49"/>
        <v>0.6845834747414028</v>
      </c>
    </row>
    <row r="185" spans="1:13">
      <c r="A185" s="26">
        <f t="shared" si="50"/>
        <v>180</v>
      </c>
      <c r="B185" s="34">
        <f t="shared" si="51"/>
        <v>110</v>
      </c>
      <c r="C185" s="11">
        <f t="shared" si="52"/>
        <v>453.15</v>
      </c>
      <c r="D185" s="14">
        <f t="shared" si="53"/>
        <v>893.52838306224999</v>
      </c>
      <c r="E185" s="15">
        <f t="shared" si="54"/>
        <v>5.8863509333578645E-2</v>
      </c>
      <c r="F185" s="13">
        <f t="shared" si="44"/>
        <v>768.33736114668739</v>
      </c>
      <c r="G185" s="14">
        <f t="shared" si="45"/>
        <v>2.1261226082937936</v>
      </c>
      <c r="H185" s="15">
        <f t="shared" si="46"/>
        <v>4.3629572832662902</v>
      </c>
      <c r="I185" s="15">
        <f t="shared" si="47"/>
        <v>3.3886541564082462</v>
      </c>
      <c r="J185" s="15">
        <f t="shared" si="55"/>
        <v>-1</v>
      </c>
      <c r="K185" s="15">
        <f t="shared" si="56"/>
        <v>1423.1338127726565</v>
      </c>
      <c r="L185" s="35">
        <f t="shared" si="48"/>
        <v>1.5259594655108268E-4</v>
      </c>
      <c r="M185" s="14">
        <f t="shared" si="49"/>
        <v>0.68107681087907701</v>
      </c>
    </row>
    <row r="186" spans="1:13">
      <c r="A186" s="26">
        <f t="shared" si="50"/>
        <v>190</v>
      </c>
      <c r="B186" s="34">
        <f t="shared" si="51"/>
        <v>110</v>
      </c>
      <c r="C186" s="11">
        <f t="shared" si="52"/>
        <v>463.15</v>
      </c>
      <c r="D186" s="14">
        <f t="shared" si="53"/>
        <v>882.8450575331301</v>
      </c>
      <c r="E186" s="15">
        <f t="shared" si="54"/>
        <v>5.8289499833453932E-2</v>
      </c>
      <c r="F186" s="13">
        <f t="shared" si="44"/>
        <v>812.14706144068896</v>
      </c>
      <c r="G186" s="14">
        <f t="shared" si="45"/>
        <v>2.2217479922642354</v>
      </c>
      <c r="H186" s="15">
        <f t="shared" si="46"/>
        <v>4.3998089301801606</v>
      </c>
      <c r="I186" s="15">
        <f t="shared" si="47"/>
        <v>3.3486262776232092</v>
      </c>
      <c r="J186" s="15">
        <f t="shared" si="55"/>
        <v>-1</v>
      </c>
      <c r="K186" s="15">
        <f t="shared" si="56"/>
        <v>1395.4953078409164</v>
      </c>
      <c r="L186" s="35">
        <f t="shared" si="48"/>
        <v>1.4418050212334273E-4</v>
      </c>
      <c r="M186" s="14">
        <f t="shared" si="49"/>
        <v>0.67672015886753467</v>
      </c>
    </row>
    <row r="187" spans="1:13">
      <c r="A187" s="26">
        <f t="shared" si="50"/>
        <v>200</v>
      </c>
      <c r="B187" s="34">
        <f t="shared" si="51"/>
        <v>110</v>
      </c>
      <c r="C187" s="11">
        <f t="shared" si="52"/>
        <v>473.15</v>
      </c>
      <c r="D187" s="14">
        <f t="shared" si="53"/>
        <v>871.66811589323947</v>
      </c>
      <c r="E187" s="15">
        <f t="shared" si="54"/>
        <v>5.7789173365104432E-2</v>
      </c>
      <c r="F187" s="13">
        <f t="shared" si="44"/>
        <v>856.35141501363989</v>
      </c>
      <c r="G187" s="14">
        <f t="shared" si="45"/>
        <v>2.3161734611106315</v>
      </c>
      <c r="H187" s="15">
        <f t="shared" si="46"/>
        <v>4.4420288198178968</v>
      </c>
      <c r="I187" s="15">
        <f t="shared" si="47"/>
        <v>3.3101490895310142</v>
      </c>
      <c r="J187" s="15">
        <f t="shared" si="55"/>
        <v>-1</v>
      </c>
      <c r="K187" s="15">
        <f t="shared" si="56"/>
        <v>1365.8071611772648</v>
      </c>
      <c r="L187" s="35">
        <f t="shared" si="48"/>
        <v>1.3665329076811131E-4</v>
      </c>
      <c r="M187" s="14">
        <f t="shared" si="49"/>
        <v>0.67148155661867348</v>
      </c>
    </row>
    <row r="188" spans="1:13">
      <c r="A188" s="26">
        <f t="shared" si="50"/>
        <v>210</v>
      </c>
      <c r="B188" s="34">
        <f t="shared" si="51"/>
        <v>110</v>
      </c>
      <c r="C188" s="11">
        <f t="shared" si="52"/>
        <v>483.15</v>
      </c>
      <c r="D188" s="14">
        <f t="shared" si="53"/>
        <v>859.96231390493404</v>
      </c>
      <c r="E188" s="15">
        <f t="shared" si="54"/>
        <v>5.7363426301393898E-2</v>
      </c>
      <c r="F188" s="13">
        <f t="shared" si="44"/>
        <v>901.00863879852454</v>
      </c>
      <c r="G188" s="14">
        <f t="shared" si="45"/>
        <v>2.4095709435562012</v>
      </c>
      <c r="H188" s="15">
        <f t="shared" si="46"/>
        <v>4.4905564713187625</v>
      </c>
      <c r="I188" s="15">
        <f t="shared" si="47"/>
        <v>3.2733495234022532</v>
      </c>
      <c r="J188" s="15">
        <f t="shared" si="55"/>
        <v>-1</v>
      </c>
      <c r="K188" s="15">
        <f t="shared" si="56"/>
        <v>1334.0421242202331</v>
      </c>
      <c r="L188" s="35">
        <f t="shared" si="48"/>
        <v>1.2987121636229417E-4</v>
      </c>
      <c r="M188" s="14">
        <f t="shared" si="49"/>
        <v>0.66531659124170417</v>
      </c>
    </row>
    <row r="189" spans="1:13">
      <c r="A189" s="26">
        <f t="shared" si="50"/>
        <v>220</v>
      </c>
      <c r="B189" s="34">
        <f t="shared" si="51"/>
        <v>110</v>
      </c>
      <c r="C189" s="11">
        <f t="shared" si="52"/>
        <v>493.15</v>
      </c>
      <c r="D189" s="14">
        <f t="shared" si="53"/>
        <v>847.68361643969365</v>
      </c>
      <c r="E189" s="15">
        <f t="shared" si="54"/>
        <v>5.7014282107213217E-2</v>
      </c>
      <c r="F189" s="13">
        <f t="shared" si="44"/>
        <v>946.18742599341829</v>
      </c>
      <c r="G189" s="14">
        <f t="shared" si="45"/>
        <v>2.5021232567356999</v>
      </c>
      <c r="H189" s="15">
        <f t="shared" si="46"/>
        <v>4.5465587641491272</v>
      </c>
      <c r="I189" s="15">
        <f t="shared" si="47"/>
        <v>3.2383583678700556</v>
      </c>
      <c r="J189" s="15">
        <f t="shared" si="55"/>
        <v>-1</v>
      </c>
      <c r="K189" s="15">
        <f t="shared" si="56"/>
        <v>1300.1597576922377</v>
      </c>
      <c r="L189" s="35">
        <f t="shared" si="48"/>
        <v>1.237144491479039E-4</v>
      </c>
      <c r="M189" s="14">
        <f t="shared" si="49"/>
        <v>0.65816701034716585</v>
      </c>
    </row>
    <row r="190" spans="1:13">
      <c r="A190" s="26">
        <f t="shared" si="50"/>
        <v>230</v>
      </c>
      <c r="B190" s="34">
        <f t="shared" si="51"/>
        <v>110</v>
      </c>
      <c r="C190" s="11">
        <f t="shared" si="52"/>
        <v>503.15</v>
      </c>
      <c r="D190" s="14">
        <f t="shared" si="53"/>
        <v>834.77715136072004</v>
      </c>
      <c r="E190" s="15">
        <f t="shared" si="54"/>
        <v>5.6745111885469594E-2</v>
      </c>
      <c r="F190" s="13">
        <f t="shared" si="44"/>
        <v>991.96960607995175</v>
      </c>
      <c r="G190" s="14">
        <f t="shared" si="45"/>
        <v>2.5940285695726053</v>
      </c>
      <c r="H190" s="15">
        <f t="shared" si="46"/>
        <v>4.6115129922904625</v>
      </c>
      <c r="I190" s="15">
        <f t="shared" si="47"/>
        <v>3.2053093061407369</v>
      </c>
      <c r="J190" s="15">
        <f t="shared" si="55"/>
        <v>-1</v>
      </c>
      <c r="K190" s="15">
        <f t="shared" si="56"/>
        <v>1264.1029380273151</v>
      </c>
      <c r="L190" s="35">
        <f t="shared" si="48"/>
        <v>1.1808127440234442E-4</v>
      </c>
      <c r="M190" s="14">
        <f t="shared" si="49"/>
        <v>0.64995864428089245</v>
      </c>
    </row>
    <row r="191" spans="1:13">
      <c r="A191" s="26">
        <f t="shared" si="50"/>
        <v>240</v>
      </c>
      <c r="B191" s="34">
        <f t="shared" si="51"/>
        <v>110</v>
      </c>
      <c r="C191" s="11">
        <f t="shared" si="52"/>
        <v>513.15</v>
      </c>
      <c r="D191" s="14">
        <f t="shared" si="53"/>
        <v>821.17425902649984</v>
      </c>
      <c r="E191" s="15">
        <f t="shared" si="54"/>
        <v>5.6560967111488974E-2</v>
      </c>
      <c r="F191" s="13">
        <f t="shared" si="44"/>
        <v>1038.453842847802</v>
      </c>
      <c r="G191" s="14">
        <f t="shared" si="45"/>
        <v>2.6855064684912402</v>
      </c>
      <c r="H191" s="15">
        <f t="shared" si="46"/>
        <v>4.6873353074706934</v>
      </c>
      <c r="I191" s="15">
        <f t="shared" si="47"/>
        <v>3.1743422023129302</v>
      </c>
      <c r="J191" s="15">
        <f t="shared" si="55"/>
        <v>-1</v>
      </c>
      <c r="K191" s="15">
        <f t="shared" si="56"/>
        <v>1225.7868161989709</v>
      </c>
      <c r="L191" s="35">
        <f t="shared" si="48"/>
        <v>1.1288395291646569E-4</v>
      </c>
      <c r="M191" s="14">
        <f t="shared" si="49"/>
        <v>0.64059910951021504</v>
      </c>
    </row>
    <row r="192" spans="1:13">
      <c r="A192" s="26">
        <f t="shared" si="50"/>
        <v>250</v>
      </c>
      <c r="B192" s="34">
        <f t="shared" si="51"/>
        <v>110</v>
      </c>
      <c r="C192" s="11">
        <f t="shared" si="52"/>
        <v>523.15</v>
      </c>
      <c r="D192" s="14">
        <f t="shared" si="53"/>
        <v>806.78809943411477</v>
      </c>
      <c r="E192" s="15">
        <f t="shared" si="54"/>
        <v>5.646908803570877E-2</v>
      </c>
      <c r="F192" s="13">
        <f t="shared" si="44"/>
        <v>1085.7609697374878</v>
      </c>
      <c r="G192" s="14">
        <f t="shared" si="45"/>
        <v>2.7768065957266317</v>
      </c>
      <c r="H192" s="15">
        <f t="shared" si="46"/>
        <v>4.7765869070784843</v>
      </c>
      <c r="I192" s="15">
        <f t="shared" si="47"/>
        <v>3.1456136296821118</v>
      </c>
      <c r="J192" s="15">
        <f t="shared" si="55"/>
        <v>-1</v>
      </c>
      <c r="K192" s="15">
        <f t="shared" si="56"/>
        <v>1185.0775141300699</v>
      </c>
      <c r="L192" s="35">
        <f t="shared" si="48"/>
        <v>1.0804524964782448E-4</v>
      </c>
      <c r="M192" s="14">
        <f t="shared" si="49"/>
        <v>0.62997606527810135</v>
      </c>
    </row>
    <row r="193" spans="1:13">
      <c r="A193" s="26">
        <f t="shared" si="50"/>
        <v>260</v>
      </c>
      <c r="B193" s="34">
        <f t="shared" si="51"/>
        <v>110</v>
      </c>
      <c r="C193" s="11">
        <f t="shared" si="52"/>
        <v>533.15</v>
      </c>
      <c r="D193" s="14">
        <f t="shared" si="53"/>
        <v>791.50686892201736</v>
      </c>
      <c r="E193" s="15">
        <f t="shared" si="54"/>
        <v>5.6479700554821766E-2</v>
      </c>
      <c r="F193" s="13">
        <f t="shared" si="44"/>
        <v>1134.0420098011411</v>
      </c>
      <c r="G193" s="14">
        <f t="shared" si="45"/>
        <v>2.868221549419411</v>
      </c>
      <c r="H193" s="15">
        <f t="shared" si="46"/>
        <v>4.8828182795531854</v>
      </c>
      <c r="I193" s="15">
        <f t="shared" si="47"/>
        <v>3.1193178286766514</v>
      </c>
      <c r="J193" s="15">
        <f t="shared" si="55"/>
        <v>-1</v>
      </c>
      <c r="K193" s="15">
        <f t="shared" si="56"/>
        <v>1141.7591038139062</v>
      </c>
      <c r="L193" s="35">
        <f t="shared" si="48"/>
        <v>1.034953146926896E-4</v>
      </c>
      <c r="M193" s="14">
        <f t="shared" si="49"/>
        <v>0.61795723809974978</v>
      </c>
    </row>
    <row r="194" spans="1:13">
      <c r="A194" s="26">
        <f t="shared" si="50"/>
        <v>270</v>
      </c>
      <c r="B194" s="34">
        <f t="shared" si="51"/>
        <v>110</v>
      </c>
      <c r="C194" s="11">
        <f t="shared" si="52"/>
        <v>543.15</v>
      </c>
      <c r="D194" s="14">
        <f t="shared" si="53"/>
        <v>775.18292451163063</v>
      </c>
      <c r="E194" s="15">
        <f t="shared" si="54"/>
        <v>5.6607308452587587E-2</v>
      </c>
      <c r="F194" s="13">
        <f t="shared" si="44"/>
        <v>1183.4907775908212</v>
      </c>
      <c r="G194" s="14">
        <f t="shared" si="45"/>
        <v>2.9601070930979745</v>
      </c>
      <c r="H194" s="15">
        <f t="shared" si="46"/>
        <v>5.0111680188314498</v>
      </c>
      <c r="I194" s="15">
        <f t="shared" si="47"/>
        <v>3.0957269399575988</v>
      </c>
      <c r="J194" s="15">
        <f t="shared" si="55"/>
        <v>-1</v>
      </c>
      <c r="K194" s="15">
        <f t="shared" si="56"/>
        <v>1095.486134876174</v>
      </c>
      <c r="L194" s="35">
        <f t="shared" si="48"/>
        <v>9.9168571067630829E-5</v>
      </c>
      <c r="M194" s="14">
        <f t="shared" si="49"/>
        <v>0.60439389925259102</v>
      </c>
    </row>
    <row r="195" spans="1:13">
      <c r="A195" s="26">
        <f t="shared" si="50"/>
        <v>280</v>
      </c>
      <c r="B195" s="34">
        <f t="shared" si="51"/>
        <v>110</v>
      </c>
      <c r="C195" s="11">
        <f t="shared" si="52"/>
        <v>553.15</v>
      </c>
      <c r="D195" s="14">
        <f t="shared" si="53"/>
        <v>757.61460822154493</v>
      </c>
      <c r="E195" s="15">
        <f t="shared" si="54"/>
        <v>5.6872881207628102E-2</v>
      </c>
      <c r="F195" s="13">
        <f t="shared" si="44"/>
        <v>1234.3646601177938</v>
      </c>
      <c r="G195" s="14">
        <f t="shared" si="45"/>
        <v>3.0529154310375972</v>
      </c>
      <c r="H195" s="15">
        <f t="shared" si="46"/>
        <v>5.1694569440510527</v>
      </c>
      <c r="I195" s="15">
        <f t="shared" si="47"/>
        <v>3.0752825601095717</v>
      </c>
      <c r="J195" s="15">
        <f t="shared" si="55"/>
        <v>-1</v>
      </c>
      <c r="K195" s="15">
        <f t="shared" si="56"/>
        <v>1045.708500935518</v>
      </c>
      <c r="L195" s="35">
        <f t="shared" si="48"/>
        <v>9.500013625701311E-5</v>
      </c>
      <c r="M195" s="14">
        <f t="shared" si="49"/>
        <v>0.58912948763768003</v>
      </c>
    </row>
    <row r="196" spans="1:13">
      <c r="A196" s="26">
        <f t="shared" si="50"/>
        <v>290</v>
      </c>
      <c r="B196" s="34">
        <f t="shared" si="51"/>
        <v>110</v>
      </c>
      <c r="C196" s="11">
        <f t="shared" si="52"/>
        <v>563.15</v>
      </c>
      <c r="D196" s="14">
        <f t="shared" si="53"/>
        <v>738.5142344326274</v>
      </c>
      <c r="E196" s="15">
        <f t="shared" si="54"/>
        <v>5.7307772509837172E-2</v>
      </c>
      <c r="F196" s="13">
        <f t="shared" si="44"/>
        <v>1287.0208664418319</v>
      </c>
      <c r="G196" s="14">
        <f t="shared" si="45"/>
        <v>3.147253192380878</v>
      </c>
      <c r="H196" s="15">
        <f t="shared" si="46"/>
        <v>5.3703211310557384</v>
      </c>
      <c r="I196" s="15">
        <f t="shared" si="47"/>
        <v>3.058785592433666</v>
      </c>
      <c r="J196" s="15">
        <f t="shared" si="55"/>
        <v>-1</v>
      </c>
      <c r="K196" s="15">
        <f t="shared" si="56"/>
        <v>991.55502255897954</v>
      </c>
      <c r="L196" s="35">
        <f t="shared" si="48"/>
        <v>9.0920958678266468E-5</v>
      </c>
      <c r="M196" s="14">
        <f t="shared" si="49"/>
        <v>0.57201330651365478</v>
      </c>
    </row>
    <row r="197" spans="1:13">
      <c r="A197" s="26">
        <f t="shared" si="50"/>
        <v>300</v>
      </c>
      <c r="B197" s="34">
        <f t="shared" si="51"/>
        <v>110</v>
      </c>
      <c r="C197" s="11">
        <f t="shared" si="52"/>
        <v>573.15</v>
      </c>
      <c r="D197" s="14">
        <f t="shared" si="53"/>
        <v>717.44821746228047</v>
      </c>
      <c r="E197" s="15">
        <f t="shared" si="54"/>
        <v>5.7961234864208032E-2</v>
      </c>
      <c r="F197" s="13">
        <f t="shared" si="44"/>
        <v>1341.9841177690828</v>
      </c>
      <c r="G197" s="14">
        <f t="shared" si="45"/>
        <v>3.2439895965651875</v>
      </c>
      <c r="H197" s="15">
        <f t="shared" si="46"/>
        <v>5.635694068204594</v>
      </c>
      <c r="I197" s="15">
        <f t="shared" si="47"/>
        <v>3.0475007819640125</v>
      </c>
      <c r="J197" s="15">
        <f t="shared" si="55"/>
        <v>-1</v>
      </c>
      <c r="K197" s="15">
        <f t="shared" si="56"/>
        <v>931.79866921979556</v>
      </c>
      <c r="L197" s="35">
        <f t="shared" si="48"/>
        <v>8.6850069725059382E-5</v>
      </c>
      <c r="M197" s="14">
        <f t="shared" si="49"/>
        <v>0.55291423343764923</v>
      </c>
    </row>
    <row r="198" spans="1:13">
      <c r="A198" s="26">
        <f t="shared" si="50"/>
        <v>310</v>
      </c>
      <c r="B198" s="34">
        <f t="shared" si="51"/>
        <v>110</v>
      </c>
      <c r="C198" s="11">
        <f t="shared" si="52"/>
        <v>583.15</v>
      </c>
      <c r="D198" s="14">
        <f t="shared" si="53"/>
        <v>693.71940490571069</v>
      </c>
      <c r="E198" s="15">
        <f t="shared" si="54"/>
        <v>5.8915879379718872E-2</v>
      </c>
      <c r="F198" s="13">
        <f t="shared" si="44"/>
        <v>1400.0834040765176</v>
      </c>
      <c r="G198" s="14">
        <f t="shared" si="45"/>
        <v>3.3444745963889928</v>
      </c>
      <c r="H198" s="15">
        <f t="shared" si="46"/>
        <v>6.007042945022933</v>
      </c>
      <c r="I198" s="15">
        <f t="shared" si="47"/>
        <v>3.0422042775810954</v>
      </c>
      <c r="J198" s="15">
        <f t="shared" si="55"/>
        <v>-1</v>
      </c>
      <c r="K198" s="15">
        <f t="shared" si="56"/>
        <v>865.34801673053539</v>
      </c>
      <c r="L198" s="35">
        <f t="shared" si="48"/>
        <v>8.2680884975335893E-5</v>
      </c>
      <c r="M198" s="14">
        <f t="shared" si="49"/>
        <v>0.53172730439119331</v>
      </c>
    </row>
    <row r="199" spans="1:13">
      <c r="A199" s="26">
        <f t="shared" si="50"/>
        <v>320</v>
      </c>
      <c r="B199" s="34">
        <f t="shared" si="51"/>
        <v>110</v>
      </c>
      <c r="C199" s="11">
        <f t="shared" si="52"/>
        <v>593.15</v>
      </c>
      <c r="D199" s="14">
        <f t="shared" si="53"/>
        <v>61.434370832012476</v>
      </c>
      <c r="E199" s="15">
        <f t="shared" si="54"/>
        <v>0.65406443908268364</v>
      </c>
      <c r="F199" s="13">
        <f t="shared" si="44"/>
        <v>2721.0746319189057</v>
      </c>
      <c r="G199" s="14">
        <f t="shared" si="45"/>
        <v>5.5793212104286409</v>
      </c>
      <c r="H199" s="15">
        <f t="shared" si="46"/>
        <v>7.4062438703000142</v>
      </c>
      <c r="I199" s="15">
        <f t="shared" si="47"/>
        <v>3.1004737236522408</v>
      </c>
      <c r="J199" s="15">
        <f t="shared" si="55"/>
        <v>1.2408131516524106</v>
      </c>
      <c r="K199" s="15">
        <f t="shared" si="56"/>
        <v>471.35034483179265</v>
      </c>
      <c r="L199" s="35">
        <f t="shared" si="48"/>
        <v>2.0802030090690585E-5</v>
      </c>
      <c r="M199" s="14">
        <f t="shared" si="49"/>
        <v>8.0812908016159896E-2</v>
      </c>
    </row>
    <row r="200" spans="1:13">
      <c r="A200" s="26">
        <f t="shared" si="50"/>
        <v>330</v>
      </c>
      <c r="B200" s="34">
        <f t="shared" si="51"/>
        <v>110</v>
      </c>
      <c r="C200" s="11">
        <f t="shared" si="52"/>
        <v>603.15</v>
      </c>
      <c r="D200" s="14">
        <f t="shared" si="53"/>
        <v>56.926754688241104</v>
      </c>
      <c r="E200" s="15">
        <f t="shared" si="54"/>
        <v>0.69415223930195746</v>
      </c>
      <c r="F200" s="13">
        <f t="shared" si="44"/>
        <v>2786.3686340209315</v>
      </c>
      <c r="G200" s="14">
        <f t="shared" si="45"/>
        <v>5.6885190189119381</v>
      </c>
      <c r="H200" s="15">
        <f t="shared" si="46"/>
        <v>5.857784601240037</v>
      </c>
      <c r="I200" s="15">
        <f t="shared" si="47"/>
        <v>2.7725313008774459</v>
      </c>
      <c r="J200" s="15">
        <f t="shared" si="55"/>
        <v>1.2564966636753483</v>
      </c>
      <c r="K200" s="15">
        <f t="shared" si="56"/>
        <v>492.74111220180311</v>
      </c>
      <c r="L200" s="35">
        <f t="shared" si="48"/>
        <v>2.1266784875336273E-5</v>
      </c>
      <c r="M200" s="14">
        <f t="shared" si="49"/>
        <v>7.6193522074256323E-2</v>
      </c>
    </row>
    <row r="201" spans="1:13">
      <c r="A201" s="26">
        <f t="shared" si="50"/>
        <v>340</v>
      </c>
      <c r="B201" s="34">
        <f t="shared" si="51"/>
        <v>110</v>
      </c>
      <c r="C201" s="11">
        <f t="shared" si="52"/>
        <v>613.15</v>
      </c>
      <c r="D201" s="14">
        <f t="shared" si="53"/>
        <v>53.596370010673766</v>
      </c>
      <c r="E201" s="15">
        <f t="shared" si="54"/>
        <v>0.72526108928473088</v>
      </c>
      <c r="F201" s="13">
        <f t="shared" si="44"/>
        <v>2840.4484749059811</v>
      </c>
      <c r="G201" s="14">
        <f t="shared" si="45"/>
        <v>5.7774648678073612</v>
      </c>
      <c r="H201" s="15">
        <f t="shared" si="46"/>
        <v>5.0239639209236122</v>
      </c>
      <c r="I201" s="15">
        <f t="shared" si="47"/>
        <v>2.5754601412671554</v>
      </c>
      <c r="J201" s="15">
        <f t="shared" si="55"/>
        <v>1.2642145410136949</v>
      </c>
      <c r="K201" s="15">
        <f t="shared" si="56"/>
        <v>509.37666408167024</v>
      </c>
      <c r="L201" s="35">
        <f t="shared" si="48"/>
        <v>2.1739345535986244E-5</v>
      </c>
      <c r="M201" s="14">
        <f t="shared" si="49"/>
        <v>7.3512802841073574E-2</v>
      </c>
    </row>
    <row r="202" spans="1:13">
      <c r="A202" s="26">
        <f t="shared" si="50"/>
        <v>350</v>
      </c>
      <c r="B202" s="34">
        <f t="shared" si="51"/>
        <v>110</v>
      </c>
      <c r="C202" s="11">
        <f t="shared" si="52"/>
        <v>623.15</v>
      </c>
      <c r="D202" s="14">
        <f t="shared" si="53"/>
        <v>50.949579570860138</v>
      </c>
      <c r="E202" s="15">
        <f t="shared" si="54"/>
        <v>0.75069458507015618</v>
      </c>
      <c r="F202" s="13">
        <f t="shared" si="44"/>
        <v>2887.7857051319816</v>
      </c>
      <c r="G202" s="14">
        <f t="shared" si="45"/>
        <v>5.8540572853356521</v>
      </c>
      <c r="H202" s="15">
        <f t="shared" si="46"/>
        <v>4.4776965270998801</v>
      </c>
      <c r="I202" s="15">
        <f t="shared" si="47"/>
        <v>2.4308513664295011</v>
      </c>
      <c r="J202" s="15">
        <f t="shared" si="55"/>
        <v>1.2695836515427659</v>
      </c>
      <c r="K202" s="15">
        <f t="shared" si="56"/>
        <v>523.54823635938283</v>
      </c>
      <c r="L202" s="35">
        <f t="shared" si="48"/>
        <v>2.2212890811518138E-5</v>
      </c>
      <c r="M202" s="14">
        <f t="shared" si="49"/>
        <v>7.1829977966196404E-2</v>
      </c>
    </row>
    <row r="203" spans="1:13">
      <c r="A203" s="26">
        <f t="shared" si="50"/>
        <v>100</v>
      </c>
      <c r="B203" s="34">
        <f t="shared" si="51"/>
        <v>120</v>
      </c>
      <c r="C203" s="11">
        <f t="shared" si="52"/>
        <v>373.15</v>
      </c>
      <c r="D203" s="14">
        <f t="shared" si="53"/>
        <v>963.84154917536421</v>
      </c>
      <c r="E203" s="15">
        <f t="shared" si="54"/>
        <v>7.2292951867858127E-2</v>
      </c>
      <c r="F203" s="13">
        <f t="shared" si="44"/>
        <v>428.05637192488615</v>
      </c>
      <c r="G203" s="14">
        <f t="shared" si="45"/>
        <v>1.297841549746428</v>
      </c>
      <c r="H203" s="15">
        <f t="shared" si="46"/>
        <v>4.1901558613327872</v>
      </c>
      <c r="I203" s="15">
        <f t="shared" si="47"/>
        <v>3.7504744420223561</v>
      </c>
      <c r="J203" s="15">
        <f t="shared" si="55"/>
        <v>-1</v>
      </c>
      <c r="K203" s="15">
        <f t="shared" si="56"/>
        <v>1569.1480956597557</v>
      </c>
      <c r="L203" s="35">
        <f t="shared" si="48"/>
        <v>2.8492590032595257E-4</v>
      </c>
      <c r="M203" s="14">
        <f t="shared" si="49"/>
        <v>0.68558521945136697</v>
      </c>
    </row>
    <row r="204" spans="1:13">
      <c r="A204" s="26">
        <f t="shared" si="50"/>
        <v>110</v>
      </c>
      <c r="B204" s="34">
        <f t="shared" si="51"/>
        <v>120</v>
      </c>
      <c r="C204" s="11">
        <f t="shared" si="52"/>
        <v>383.15</v>
      </c>
      <c r="D204" s="14">
        <f t="shared" si="53"/>
        <v>956.58057562287786</v>
      </c>
      <c r="E204" s="15">
        <f t="shared" si="54"/>
        <v>7.0940567828514822E-2</v>
      </c>
      <c r="F204" s="13">
        <f t="shared" si="44"/>
        <v>470.01955192746271</v>
      </c>
      <c r="G204" s="14">
        <f t="shared" si="45"/>
        <v>1.4088169492154927</v>
      </c>
      <c r="H204" s="15">
        <f t="shared" si="46"/>
        <v>4.2027913820703677</v>
      </c>
      <c r="I204" s="15">
        <f t="shared" si="47"/>
        <v>3.7019209138958344</v>
      </c>
      <c r="J204" s="15">
        <f t="shared" si="55"/>
        <v>-1</v>
      </c>
      <c r="K204" s="15">
        <f t="shared" si="56"/>
        <v>1559.5975418074654</v>
      </c>
      <c r="L204" s="35">
        <f t="shared" si="48"/>
        <v>2.5784151533515636E-4</v>
      </c>
      <c r="M204" s="14">
        <f t="shared" si="49"/>
        <v>0.68841269842404174</v>
      </c>
    </row>
    <row r="205" spans="1:13">
      <c r="A205" s="26">
        <f t="shared" si="50"/>
        <v>120</v>
      </c>
      <c r="B205" s="34">
        <f t="shared" si="51"/>
        <v>120</v>
      </c>
      <c r="C205" s="11">
        <f t="shared" si="52"/>
        <v>393.15</v>
      </c>
      <c r="D205" s="14">
        <f t="shared" si="53"/>
        <v>948.90095704667601</v>
      </c>
      <c r="E205" s="15">
        <f t="shared" si="54"/>
        <v>6.9695683801412472E-2</v>
      </c>
      <c r="F205" s="13">
        <f t="shared" si="44"/>
        <v>512.11864150931933</v>
      </c>
      <c r="G205" s="14">
        <f t="shared" si="45"/>
        <v>1.5172830207375527</v>
      </c>
      <c r="H205" s="15">
        <f t="shared" si="46"/>
        <v>4.2173611459537108</v>
      </c>
      <c r="I205" s="15">
        <f t="shared" si="47"/>
        <v>3.6540846675908378</v>
      </c>
      <c r="J205" s="15">
        <f t="shared" si="55"/>
        <v>-1</v>
      </c>
      <c r="K205" s="15">
        <f t="shared" si="56"/>
        <v>1547.3547443698421</v>
      </c>
      <c r="L205" s="35">
        <f t="shared" si="48"/>
        <v>2.3513904230389266E-4</v>
      </c>
      <c r="M205" s="14">
        <f t="shared" si="49"/>
        <v>0.69015373392787394</v>
      </c>
    </row>
    <row r="206" spans="1:13">
      <c r="A206" s="26">
        <f t="shared" si="50"/>
        <v>130</v>
      </c>
      <c r="B206" s="34">
        <f t="shared" si="51"/>
        <v>120</v>
      </c>
      <c r="C206" s="11">
        <f t="shared" si="52"/>
        <v>403.15</v>
      </c>
      <c r="D206" s="14">
        <f t="shared" si="53"/>
        <v>940.81097687873125</v>
      </c>
      <c r="E206" s="15">
        <f t="shared" si="54"/>
        <v>6.8551349396759498E-2</v>
      </c>
      <c r="F206" s="13">
        <f t="shared" si="44"/>
        <v>554.37377045803657</v>
      </c>
      <c r="G206" s="14">
        <f t="shared" si="45"/>
        <v>1.6234163916209814</v>
      </c>
      <c r="H206" s="15">
        <f t="shared" si="46"/>
        <v>4.2340314588555241</v>
      </c>
      <c r="I206" s="15">
        <f t="shared" si="47"/>
        <v>3.6070872526199049</v>
      </c>
      <c r="J206" s="15">
        <f t="shared" si="55"/>
        <v>-1</v>
      </c>
      <c r="K206" s="15">
        <f t="shared" si="56"/>
        <v>1532.6305088968645</v>
      </c>
      <c r="L206" s="35">
        <f t="shared" si="48"/>
        <v>2.1591970517900258E-4</v>
      </c>
      <c r="M206" s="14">
        <f t="shared" si="49"/>
        <v>0.69091628930165938</v>
      </c>
    </row>
    <row r="207" spans="1:13">
      <c r="A207" s="26">
        <f t="shared" si="50"/>
        <v>140</v>
      </c>
      <c r="B207" s="34">
        <f t="shared" si="51"/>
        <v>120</v>
      </c>
      <c r="C207" s="11">
        <f t="shared" si="52"/>
        <v>413.15</v>
      </c>
      <c r="D207" s="14">
        <f t="shared" si="53"/>
        <v>932.31404784922267</v>
      </c>
      <c r="E207" s="15">
        <f t="shared" si="54"/>
        <v>6.750175477391307E-2</v>
      </c>
      <c r="F207" s="13">
        <f t="shared" si="44"/>
        <v>596.80700624827239</v>
      </c>
      <c r="G207" s="14">
        <f t="shared" si="45"/>
        <v>1.7273854495178875</v>
      </c>
      <c r="H207" s="15">
        <f t="shared" si="46"/>
        <v>4.2530244786507989</v>
      </c>
      <c r="I207" s="15">
        <f t="shared" si="47"/>
        <v>3.5610258821464904</v>
      </c>
      <c r="J207" s="15">
        <f t="shared" si="55"/>
        <v>-1</v>
      </c>
      <c r="K207" s="15">
        <f t="shared" si="56"/>
        <v>1515.5890702164716</v>
      </c>
      <c r="L207" s="35">
        <f t="shared" si="48"/>
        <v>1.9950029515325971E-4</v>
      </c>
      <c r="M207" s="14">
        <f t="shared" si="49"/>
        <v>0.69077603475555072</v>
      </c>
    </row>
    <row r="208" spans="1:13">
      <c r="A208" s="26">
        <f t="shared" si="50"/>
        <v>150</v>
      </c>
      <c r="B208" s="34">
        <f t="shared" si="51"/>
        <v>120</v>
      </c>
      <c r="C208" s="11">
        <f t="shared" si="52"/>
        <v>423.15</v>
      </c>
      <c r="D208" s="14">
        <f t="shared" si="53"/>
        <v>923.40893612351931</v>
      </c>
      <c r="E208" s="15">
        <f t="shared" si="54"/>
        <v>6.6542119487857598E-2</v>
      </c>
      <c r="F208" s="13">
        <f t="shared" si="44"/>
        <v>639.44293956752972</v>
      </c>
      <c r="G208" s="14">
        <f t="shared" si="45"/>
        <v>1.8293525311822334</v>
      </c>
      <c r="H208" s="15">
        <f t="shared" si="46"/>
        <v>4.2746235923919187</v>
      </c>
      <c r="I208" s="15">
        <f t="shared" si="47"/>
        <v>3.5159880789110605</v>
      </c>
      <c r="J208" s="15">
        <f t="shared" si="55"/>
        <v>-1</v>
      </c>
      <c r="K208" s="15">
        <f t="shared" si="56"/>
        <v>1496.3533107295159</v>
      </c>
      <c r="L208" s="35">
        <f t="shared" si="48"/>
        <v>1.8535369046878184E-4</v>
      </c>
      <c r="M208" s="14">
        <f t="shared" si="49"/>
        <v>0.68978125465503892</v>
      </c>
    </row>
    <row r="209" spans="1:13">
      <c r="A209" s="26">
        <f t="shared" si="50"/>
        <v>160</v>
      </c>
      <c r="B209" s="34">
        <f t="shared" si="51"/>
        <v>120</v>
      </c>
      <c r="C209" s="11">
        <f t="shared" si="52"/>
        <v>433.15</v>
      </c>
      <c r="D209" s="14">
        <f t="shared" si="53"/>
        <v>914.08981741707748</v>
      </c>
      <c r="E209" s="15">
        <f t="shared" si="54"/>
        <v>6.5668615218365395E-2</v>
      </c>
      <c r="F209" s="13">
        <f t="shared" si="44"/>
        <v>682.30932551000785</v>
      </c>
      <c r="G209" s="14">
        <f t="shared" si="45"/>
        <v>1.9294759855749235</v>
      </c>
      <c r="H209" s="15">
        <f t="shared" si="46"/>
        <v>4.2991794282494578</v>
      </c>
      <c r="I209" s="15">
        <f t="shared" si="47"/>
        <v>3.4720613436603394</v>
      </c>
      <c r="J209" s="15">
        <f t="shared" si="55"/>
        <v>-1</v>
      </c>
      <c r="K209" s="15">
        <f t="shared" si="56"/>
        <v>1475.0097683612114</v>
      </c>
      <c r="L209" s="35">
        <f t="shared" si="48"/>
        <v>1.7306775335327993E-4</v>
      </c>
      <c r="M209" s="14">
        <f t="shared" si="49"/>
        <v>0.68795790589896322</v>
      </c>
    </row>
    <row r="210" spans="1:13">
      <c r="A210" s="26">
        <f t="shared" si="50"/>
        <v>170</v>
      </c>
      <c r="B210" s="34">
        <f t="shared" si="51"/>
        <v>120</v>
      </c>
      <c r="C210" s="11">
        <f t="shared" si="52"/>
        <v>443.15</v>
      </c>
      <c r="D210" s="14">
        <f t="shared" si="53"/>
        <v>904.34617174075743</v>
      </c>
      <c r="E210" s="15">
        <f t="shared" si="54"/>
        <v>6.4878319178975422E-2</v>
      </c>
      <c r="F210" s="13">
        <f t="shared" si="44"/>
        <v>725.43779423214505</v>
      </c>
      <c r="G210" s="14">
        <f t="shared" si="45"/>
        <v>2.0279121599513763</v>
      </c>
      <c r="H210" s="15">
        <f t="shared" si="46"/>
        <v>4.327117975489478</v>
      </c>
      <c r="I210" s="15">
        <f t="shared" si="47"/>
        <v>3.4293390738889196</v>
      </c>
      <c r="J210" s="15">
        <f t="shared" si="55"/>
        <v>-1</v>
      </c>
      <c r="K210" s="15">
        <f t="shared" si="56"/>
        <v>1451.6135089743937</v>
      </c>
      <c r="L210" s="35">
        <f t="shared" si="48"/>
        <v>1.6231631106675045E-4</v>
      </c>
      <c r="M210" s="14">
        <f t="shared" si="49"/>
        <v>0.68531401278898396</v>
      </c>
    </row>
    <row r="211" spans="1:13">
      <c r="A211" s="26">
        <f t="shared" si="50"/>
        <v>180</v>
      </c>
      <c r="B211" s="34">
        <f t="shared" si="51"/>
        <v>120</v>
      </c>
      <c r="C211" s="11">
        <f t="shared" si="52"/>
        <v>453.15</v>
      </c>
      <c r="D211" s="14">
        <f t="shared" si="53"/>
        <v>894.16250953923486</v>
      </c>
      <c r="E211" s="15">
        <f t="shared" si="54"/>
        <v>6.4169197337889908E-2</v>
      </c>
      <c r="F211" s="13">
        <f t="shared" si="44"/>
        <v>768.86465944418819</v>
      </c>
      <c r="G211" s="14">
        <f t="shared" si="45"/>
        <v>2.1248173825146961</v>
      </c>
      <c r="H211" s="15">
        <f t="shared" si="46"/>
        <v>4.358952289710496</v>
      </c>
      <c r="I211" s="15">
        <f t="shared" si="47"/>
        <v>3.3879236108405131</v>
      </c>
      <c r="J211" s="15">
        <f t="shared" si="55"/>
        <v>-1</v>
      </c>
      <c r="K211" s="15">
        <f t="shared" si="56"/>
        <v>1426.1929065331074</v>
      </c>
      <c r="L211" s="35">
        <f t="shared" si="48"/>
        <v>1.5283827647763186E-4</v>
      </c>
      <c r="M211" s="14">
        <f t="shared" si="49"/>
        <v>0.6818429784765041</v>
      </c>
    </row>
    <row r="212" spans="1:13">
      <c r="A212" s="26">
        <f t="shared" si="50"/>
        <v>190</v>
      </c>
      <c r="B212" s="34">
        <f t="shared" si="51"/>
        <v>120</v>
      </c>
      <c r="C212" s="11">
        <f t="shared" si="52"/>
        <v>463.15</v>
      </c>
      <c r="D212" s="14">
        <f t="shared" si="53"/>
        <v>883.51790799579055</v>
      </c>
      <c r="E212" s="15">
        <f t="shared" si="54"/>
        <v>6.354011888362604E-2</v>
      </c>
      <c r="F212" s="13">
        <f t="shared" si="44"/>
        <v>812.63186886214532</v>
      </c>
      <c r="G212" s="14">
        <f t="shared" si="45"/>
        <v>2.2203500383501407</v>
      </c>
      <c r="H212" s="15">
        <f t="shared" si="46"/>
        <v>4.3952995014577487</v>
      </c>
      <c r="I212" s="15">
        <f t="shared" si="47"/>
        <v>3.3479270210589616</v>
      </c>
      <c r="J212" s="15">
        <f t="shared" si="55"/>
        <v>-1</v>
      </c>
      <c r="K212" s="15">
        <f t="shared" si="56"/>
        <v>1398.7543143361765</v>
      </c>
      <c r="L212" s="35">
        <f t="shared" si="48"/>
        <v>1.4442236736661188E-4</v>
      </c>
      <c r="M212" s="14">
        <f t="shared" si="49"/>
        <v>0.67752564913129887</v>
      </c>
    </row>
    <row r="213" spans="1:13">
      <c r="A213" s="26">
        <f t="shared" si="50"/>
        <v>200</v>
      </c>
      <c r="B213" s="34">
        <f t="shared" si="51"/>
        <v>120</v>
      </c>
      <c r="C213" s="11">
        <f t="shared" si="52"/>
        <v>473.15</v>
      </c>
      <c r="D213" s="14">
        <f t="shared" si="53"/>
        <v>872.38531934591776</v>
      </c>
      <c r="E213" s="15">
        <f t="shared" si="54"/>
        <v>6.2990906029237986E-2</v>
      </c>
      <c r="F213" s="13">
        <f t="shared" si="44"/>
        <v>856.7881604446992</v>
      </c>
      <c r="G213" s="14">
        <f t="shared" si="45"/>
        <v>2.3146728629621154</v>
      </c>
      <c r="H213" s="15">
        <f t="shared" si="46"/>
        <v>4.4369054167112187</v>
      </c>
      <c r="I213" s="15">
        <f t="shared" si="47"/>
        <v>3.3094700749876962</v>
      </c>
      <c r="J213" s="15">
        <f t="shared" si="55"/>
        <v>-1</v>
      </c>
      <c r="K213" s="15">
        <f t="shared" si="56"/>
        <v>1369.2864470235963</v>
      </c>
      <c r="L213" s="35">
        <f t="shared" si="48"/>
        <v>1.368957465312721E-4</v>
      </c>
      <c r="M213" s="14">
        <f t="shared" si="49"/>
        <v>0.6723311275345657</v>
      </c>
    </row>
    <row r="214" spans="1:13">
      <c r="A214" s="26">
        <f t="shared" si="50"/>
        <v>210</v>
      </c>
      <c r="B214" s="34">
        <f t="shared" si="51"/>
        <v>120</v>
      </c>
      <c r="C214" s="11">
        <f t="shared" si="52"/>
        <v>483.15</v>
      </c>
      <c r="D214" s="14">
        <f t="shared" si="53"/>
        <v>860.73058913619525</v>
      </c>
      <c r="E214" s="15">
        <f t="shared" si="54"/>
        <v>6.2522426799605735E-2</v>
      </c>
      <c r="F214" s="13">
        <f t="shared" si="44"/>
        <v>901.39051602131804</v>
      </c>
      <c r="G214" s="14">
        <f t="shared" si="45"/>
        <v>2.4079556176071102</v>
      </c>
      <c r="H214" s="15">
        <f t="shared" si="46"/>
        <v>4.4846800881422508</v>
      </c>
      <c r="I214" s="15">
        <f t="shared" si="47"/>
        <v>3.2726799536287432</v>
      </c>
      <c r="J214" s="15">
        <f t="shared" si="55"/>
        <v>-1</v>
      </c>
      <c r="K214" s="15">
        <f t="shared" si="56"/>
        <v>1337.7639271150117</v>
      </c>
      <c r="L214" s="35">
        <f t="shared" si="48"/>
        <v>1.3011544813491487E-4</v>
      </c>
      <c r="M214" s="14">
        <f t="shared" si="49"/>
        <v>0.66621643690174492</v>
      </c>
    </row>
    <row r="215" spans="1:13">
      <c r="A215" s="26">
        <f t="shared" si="50"/>
        <v>220</v>
      </c>
      <c r="B215" s="34">
        <f t="shared" si="51"/>
        <v>120</v>
      </c>
      <c r="C215" s="11">
        <f t="shared" si="52"/>
        <v>493.15</v>
      </c>
      <c r="D215" s="14">
        <f t="shared" si="53"/>
        <v>848.5110844438251</v>
      </c>
      <c r="E215" s="15">
        <f t="shared" si="54"/>
        <v>6.2136743759635987E-2</v>
      </c>
      <c r="F215" s="13">
        <f t="shared" ref="F215:F278" si="57">enthalpyw($C215,$B215)</f>
        <v>946.50604671674876</v>
      </c>
      <c r="G215" s="14">
        <f t="shared" ref="G215:G278" si="58">entropyw($C215,$B215)</f>
        <v>2.5003783746913868</v>
      </c>
      <c r="H215" s="15">
        <f t="shared" ref="H215:H278" si="59">cpw($C215,$B215)</f>
        <v>4.5397497397492383</v>
      </c>
      <c r="I215" s="15">
        <f t="shared" ref="I215:I278" si="60">cvw($C215,$B215)</f>
        <v>3.2376876049015193</v>
      </c>
      <c r="J215" s="15">
        <f t="shared" si="55"/>
        <v>-1</v>
      </c>
      <c r="K215" s="15">
        <f t="shared" si="56"/>
        <v>1304.1487943899192</v>
      </c>
      <c r="L215" s="35">
        <f t="shared" ref="L215:L278" si="61">viscw($C215,$B215)</f>
        <v>1.2396180421700092E-4</v>
      </c>
      <c r="M215" s="14">
        <f t="shared" ref="M215:M278" si="62">thconw($C215,$B215)</f>
        <v>0.65912522083145497</v>
      </c>
    </row>
    <row r="216" spans="1:13">
      <c r="A216" s="26">
        <f t="shared" si="50"/>
        <v>230</v>
      </c>
      <c r="B216" s="34">
        <f t="shared" si="51"/>
        <v>120</v>
      </c>
      <c r="C216" s="11">
        <f t="shared" si="52"/>
        <v>503.15</v>
      </c>
      <c r="D216" s="14">
        <f t="shared" si="53"/>
        <v>835.67376716945057</v>
      </c>
      <c r="E216" s="15">
        <f t="shared" si="54"/>
        <v>6.1837340291093584E-2</v>
      </c>
      <c r="F216" s="13">
        <f t="shared" si="57"/>
        <v>992.21451501585796</v>
      </c>
      <c r="G216" s="14">
        <f t="shared" si="58"/>
        <v>2.5921357507260354</v>
      </c>
      <c r="H216" s="15">
        <f t="shared" si="59"/>
        <v>4.6035341303155057</v>
      </c>
      <c r="I216" s="15">
        <f t="shared" si="60"/>
        <v>3.2046264275991483</v>
      </c>
      <c r="J216" s="15">
        <f t="shared" si="55"/>
        <v>-1</v>
      </c>
      <c r="K216" s="15">
        <f t="shared" si="56"/>
        <v>1268.3878717281762</v>
      </c>
      <c r="L216" s="35">
        <f t="shared" si="61"/>
        <v>1.1833331021380939E-4</v>
      </c>
      <c r="M216" s="14">
        <f t="shared" si="62"/>
        <v>0.65098577218339881</v>
      </c>
    </row>
    <row r="217" spans="1:13">
      <c r="A217" s="26">
        <f t="shared" si="50"/>
        <v>240</v>
      </c>
      <c r="B217" s="34">
        <f t="shared" si="51"/>
        <v>120</v>
      </c>
      <c r="C217" s="11">
        <f t="shared" si="52"/>
        <v>513.15</v>
      </c>
      <c r="D217" s="14">
        <f t="shared" si="53"/>
        <v>822.152432215452</v>
      </c>
      <c r="E217" s="15">
        <f t="shared" si="54"/>
        <v>6.1629460918300856E-2</v>
      </c>
      <c r="F217" s="13">
        <f t="shared" si="57"/>
        <v>1038.611820168592</v>
      </c>
      <c r="G217" s="14">
        <f t="shared" si="58"/>
        <v>2.6834426174600821</v>
      </c>
      <c r="H217" s="15">
        <f t="shared" si="59"/>
        <v>4.6778653627024243</v>
      </c>
      <c r="I217" s="15">
        <f t="shared" si="60"/>
        <v>3.1736348474144975</v>
      </c>
      <c r="J217" s="15">
        <f t="shared" si="55"/>
        <v>-1</v>
      </c>
      <c r="K217" s="15">
        <f t="shared" si="56"/>
        <v>1230.4031015399564</v>
      </c>
      <c r="L217" s="35">
        <f t="shared" si="61"/>
        <v>1.1314251058120767E-4</v>
      </c>
      <c r="M217" s="14">
        <f t="shared" si="62"/>
        <v>0.64170886010459904</v>
      </c>
    </row>
    <row r="218" spans="1:13">
      <c r="A218" s="26">
        <f t="shared" si="50"/>
        <v>250</v>
      </c>
      <c r="B218" s="34">
        <f t="shared" si="51"/>
        <v>120</v>
      </c>
      <c r="C218" s="11">
        <f t="shared" si="52"/>
        <v>523.15</v>
      </c>
      <c r="D218" s="14">
        <f t="shared" si="53"/>
        <v>807.86362407877493</v>
      </c>
      <c r="E218" s="15">
        <f t="shared" si="54"/>
        <v>6.1520628691923991E-2</v>
      </c>
      <c r="F218" s="13">
        <f t="shared" si="57"/>
        <v>1085.8149919688865</v>
      </c>
      <c r="G218" s="14">
        <f t="shared" si="58"/>
        <v>2.7745421711646547</v>
      </c>
      <c r="H218" s="15">
        <f t="shared" si="59"/>
        <v>4.7651771653245616</v>
      </c>
      <c r="I218" s="15">
        <f t="shared" si="60"/>
        <v>3.1448657092102348</v>
      </c>
      <c r="J218" s="15">
        <f t="shared" si="55"/>
        <v>-1</v>
      </c>
      <c r="K218" s="15">
        <f t="shared" si="56"/>
        <v>1190.0721140252658</v>
      </c>
      <c r="L218" s="35">
        <f t="shared" si="61"/>
        <v>1.0831256773293063E-4</v>
      </c>
      <c r="M218" s="14">
        <f t="shared" si="62"/>
        <v>0.63118611940040259</v>
      </c>
    </row>
    <row r="219" spans="1:13">
      <c r="A219" s="26">
        <f t="shared" si="50"/>
        <v>260</v>
      </c>
      <c r="B219" s="34">
        <f t="shared" si="51"/>
        <v>120</v>
      </c>
      <c r="C219" s="11">
        <f t="shared" si="52"/>
        <v>533.15</v>
      </c>
      <c r="D219" s="14">
        <f t="shared" si="53"/>
        <v>792.70037818339517</v>
      </c>
      <c r="E219" s="15">
        <f t="shared" si="54"/>
        <v>6.152145089800088E-2</v>
      </c>
      <c r="F219" s="13">
        <f t="shared" si="57"/>
        <v>1133.9696384884464</v>
      </c>
      <c r="G219" s="14">
        <f t="shared" si="58"/>
        <v>2.8657178811908168</v>
      </c>
      <c r="H219" s="15">
        <f t="shared" si="59"/>
        <v>4.8688183907570304</v>
      </c>
      <c r="I219" s="15">
        <f t="shared" si="60"/>
        <v>3.1185050601385975</v>
      </c>
      <c r="J219" s="15">
        <f t="shared" si="55"/>
        <v>-1</v>
      </c>
      <c r="K219" s="15">
        <f t="shared" si="56"/>
        <v>1147.1978175833649</v>
      </c>
      <c r="L219" s="35">
        <f t="shared" si="61"/>
        <v>1.0377420998243087E-4</v>
      </c>
      <c r="M219" s="14">
        <f t="shared" si="62"/>
        <v>0.61929020041437843</v>
      </c>
    </row>
    <row r="220" spans="1:13">
      <c r="A220" s="26">
        <f t="shared" si="50"/>
        <v>270</v>
      </c>
      <c r="B220" s="34">
        <f t="shared" si="51"/>
        <v>120</v>
      </c>
      <c r="C220" s="11">
        <f t="shared" si="52"/>
        <v>543.15</v>
      </c>
      <c r="D220" s="14">
        <f t="shared" si="53"/>
        <v>776.52227000041432</v>
      </c>
      <c r="E220" s="15">
        <f t="shared" si="54"/>
        <v>6.1646915100981352E-2</v>
      </c>
      <c r="F220" s="13">
        <f t="shared" si="57"/>
        <v>1183.2615457488221</v>
      </c>
      <c r="G220" s="14">
        <f t="shared" si="58"/>
        <v>2.9573120380103131</v>
      </c>
      <c r="H220" s="15">
        <f t="shared" si="59"/>
        <v>4.9935931743764943</v>
      </c>
      <c r="I220" s="15">
        <f t="shared" si="60"/>
        <v>3.0948060167714342</v>
      </c>
      <c r="J220" s="15">
        <f t="shared" si="55"/>
        <v>-1</v>
      </c>
      <c r="K220" s="15">
        <f t="shared" si="56"/>
        <v>1101.466099380001</v>
      </c>
      <c r="L220" s="35">
        <f t="shared" si="61"/>
        <v>9.9462735027919759E-5</v>
      </c>
      <c r="M220" s="14">
        <f t="shared" si="62"/>
        <v>0.60587835600977935</v>
      </c>
    </row>
    <row r="221" spans="1:13">
      <c r="A221" s="26">
        <f t="shared" si="50"/>
        <v>280</v>
      </c>
      <c r="B221" s="34">
        <f t="shared" si="51"/>
        <v>120</v>
      </c>
      <c r="C221" s="11">
        <f t="shared" si="52"/>
        <v>553.15</v>
      </c>
      <c r="D221" s="14">
        <f t="shared" si="53"/>
        <v>759.13896848557886</v>
      </c>
      <c r="E221" s="15">
        <f t="shared" si="54"/>
        <v>6.1918559751025927E-2</v>
      </c>
      <c r="F221" s="13">
        <f t="shared" si="57"/>
        <v>1233.9356046490861</v>
      </c>
      <c r="G221" s="14">
        <f t="shared" si="58"/>
        <v>3.0497559662121398</v>
      </c>
      <c r="H221" s="15">
        <f t="shared" si="59"/>
        <v>5.1467349028490839</v>
      </c>
      <c r="I221" s="15">
        <f t="shared" si="60"/>
        <v>3.0741631426343701</v>
      </c>
      <c r="J221" s="15">
        <f t="shared" si="55"/>
        <v>-1</v>
      </c>
      <c r="K221" s="15">
        <f t="shared" si="56"/>
        <v>1052.3820502161495</v>
      </c>
      <c r="L221" s="35">
        <f t="shared" si="61"/>
        <v>9.5314645032371065E-5</v>
      </c>
      <c r="M221" s="14">
        <f t="shared" si="62"/>
        <v>0.59080124242026011</v>
      </c>
    </row>
    <row r="222" spans="1:13">
      <c r="A222" s="26">
        <f t="shared" si="50"/>
        <v>290</v>
      </c>
      <c r="B222" s="34">
        <f t="shared" si="51"/>
        <v>120</v>
      </c>
      <c r="C222" s="11">
        <f t="shared" si="52"/>
        <v>563.15</v>
      </c>
      <c r="D222" s="14">
        <f t="shared" si="53"/>
        <v>740.28169429114973</v>
      </c>
      <c r="E222" s="15">
        <f t="shared" si="54"/>
        <v>6.2368306161174648E-2</v>
      </c>
      <c r="F222" s="13">
        <f t="shared" si="57"/>
        <v>1286.3283798446541</v>
      </c>
      <c r="G222" s="14">
        <f t="shared" si="58"/>
        <v>3.1436219513754131</v>
      </c>
      <c r="H222" s="15">
        <f t="shared" si="59"/>
        <v>5.3397726853164196</v>
      </c>
      <c r="I222" s="15">
        <f t="shared" si="60"/>
        <v>3.0572851440512596</v>
      </c>
      <c r="J222" s="15">
        <f t="shared" si="55"/>
        <v>-1</v>
      </c>
      <c r="K222" s="15">
        <f t="shared" si="56"/>
        <v>999.16315310005166</v>
      </c>
      <c r="L222" s="35">
        <f t="shared" si="61"/>
        <v>9.1263206793678722E-5</v>
      </c>
      <c r="M222" s="14">
        <f t="shared" si="62"/>
        <v>0.57391724532778154</v>
      </c>
    </row>
    <row r="223" spans="1:13">
      <c r="A223" s="26">
        <f t="shared" si="50"/>
        <v>300</v>
      </c>
      <c r="B223" s="34">
        <f t="shared" si="51"/>
        <v>120</v>
      </c>
      <c r="C223" s="11">
        <f t="shared" si="52"/>
        <v>573.15</v>
      </c>
      <c r="D223" s="14">
        <f t="shared" si="53"/>
        <v>719.55056931451929</v>
      </c>
      <c r="E223" s="15">
        <f t="shared" si="54"/>
        <v>6.3045694064060812E-2</v>
      </c>
      <c r="F223" s="13">
        <f t="shared" si="57"/>
        <v>1340.9279338190879</v>
      </c>
      <c r="G223" s="14">
        <f t="shared" si="58"/>
        <v>3.239718523082546</v>
      </c>
      <c r="H223" s="15">
        <f t="shared" si="59"/>
        <v>5.5923908406977167</v>
      </c>
      <c r="I223" s="15">
        <f t="shared" si="60"/>
        <v>3.0453990667905391</v>
      </c>
      <c r="J223" s="15">
        <f t="shared" si="55"/>
        <v>-1</v>
      </c>
      <c r="K223" s="15">
        <f t="shared" si="56"/>
        <v>940.64873045572426</v>
      </c>
      <c r="L223" s="35">
        <f t="shared" si="61"/>
        <v>8.7231550998153359E-5</v>
      </c>
      <c r="M223" s="14">
        <f t="shared" si="62"/>
        <v>0.5551077090708767</v>
      </c>
    </row>
    <row r="224" spans="1:13">
      <c r="A224" s="26">
        <f t="shared" si="50"/>
        <v>310</v>
      </c>
      <c r="B224" s="34">
        <f t="shared" si="51"/>
        <v>120</v>
      </c>
      <c r="C224" s="11">
        <f t="shared" si="52"/>
        <v>583.15</v>
      </c>
      <c r="D224" s="14">
        <f t="shared" si="53"/>
        <v>696.31190104553389</v>
      </c>
      <c r="E224" s="15">
        <f t="shared" si="54"/>
        <v>6.4032572531872042E-2</v>
      </c>
      <c r="F224" s="13">
        <f t="shared" si="57"/>
        <v>1398.4925996269492</v>
      </c>
      <c r="G224" s="14">
        <f t="shared" si="58"/>
        <v>3.3392793507185425</v>
      </c>
      <c r="H224" s="15">
        <f t="shared" si="59"/>
        <v>5.9410870012064345</v>
      </c>
      <c r="I224" s="15">
        <f t="shared" si="60"/>
        <v>3.0396991940330418</v>
      </c>
      <c r="J224" s="15">
        <f t="shared" si="55"/>
        <v>-1</v>
      </c>
      <c r="K224" s="15">
        <f t="shared" si="56"/>
        <v>875.61601092435615</v>
      </c>
      <c r="L224" s="35">
        <f t="shared" si="61"/>
        <v>8.3120586606379184E-5</v>
      </c>
      <c r="M224" s="14">
        <f t="shared" si="62"/>
        <v>0.53428330941579028</v>
      </c>
    </row>
    <row r="225" spans="1:13">
      <c r="A225" s="26">
        <f t="shared" si="50"/>
        <v>320</v>
      </c>
      <c r="B225" s="34">
        <f t="shared" si="51"/>
        <v>120</v>
      </c>
      <c r="C225" s="11">
        <f t="shared" si="52"/>
        <v>593.15</v>
      </c>
      <c r="D225" s="14">
        <f t="shared" si="53"/>
        <v>669.48215590027769</v>
      </c>
      <c r="E225" s="15">
        <f t="shared" si="54"/>
        <v>6.5475904613746833E-2</v>
      </c>
      <c r="F225" s="13">
        <f t="shared" si="57"/>
        <v>1460.3127560082407</v>
      </c>
      <c r="G225" s="14">
        <f t="shared" si="58"/>
        <v>3.4443789110602676</v>
      </c>
      <c r="H225" s="15">
        <f t="shared" si="59"/>
        <v>6.46208556352894</v>
      </c>
      <c r="I225" s="15">
        <f t="shared" si="60"/>
        <v>3.0398046181212015</v>
      </c>
      <c r="J225" s="15">
        <f t="shared" si="55"/>
        <v>-1</v>
      </c>
      <c r="K225" s="15">
        <f t="shared" si="56"/>
        <v>803.26234917774161</v>
      </c>
      <c r="L225" s="35">
        <f t="shared" si="61"/>
        <v>7.8785367769120766E-5</v>
      </c>
      <c r="M225" s="14">
        <f t="shared" si="62"/>
        <v>0.51137604295802763</v>
      </c>
    </row>
    <row r="226" spans="1:13">
      <c r="A226" s="26">
        <f t="shared" si="50"/>
        <v>330</v>
      </c>
      <c r="B226" s="34">
        <f t="shared" si="51"/>
        <v>120</v>
      </c>
      <c r="C226" s="11">
        <f t="shared" si="52"/>
        <v>603.15</v>
      </c>
      <c r="D226" s="14">
        <f t="shared" si="53"/>
        <v>66.56210581774323</v>
      </c>
      <c r="E226" s="15">
        <f t="shared" si="54"/>
        <v>0.64763850663951317</v>
      </c>
      <c r="F226" s="13">
        <f t="shared" si="57"/>
        <v>2728.1368426288182</v>
      </c>
      <c r="G226" s="14">
        <f t="shared" si="58"/>
        <v>5.5649921626601708</v>
      </c>
      <c r="H226" s="15">
        <f t="shared" si="59"/>
        <v>7.3312874496801346</v>
      </c>
      <c r="I226" s="15">
        <f t="shared" si="60"/>
        <v>3.0319000004921257</v>
      </c>
      <c r="J226" s="15">
        <f t="shared" si="55"/>
        <v>1.2473838404647632</v>
      </c>
      <c r="K226" s="15">
        <f t="shared" si="56"/>
        <v>474.21703761088628</v>
      </c>
      <c r="L226" s="35">
        <f t="shared" si="61"/>
        <v>2.1404612256286475E-5</v>
      </c>
      <c r="M226" s="14">
        <f t="shared" si="62"/>
        <v>8.4185387880107612E-2</v>
      </c>
    </row>
    <row r="227" spans="1:13">
      <c r="A227" s="26">
        <f t="shared" si="50"/>
        <v>340</v>
      </c>
      <c r="B227" s="34">
        <f t="shared" si="51"/>
        <v>120</v>
      </c>
      <c r="C227" s="11">
        <f t="shared" si="52"/>
        <v>613.15</v>
      </c>
      <c r="D227" s="14">
        <f t="shared" si="53"/>
        <v>61.685623094083496</v>
      </c>
      <c r="E227" s="15">
        <f t="shared" si="54"/>
        <v>0.68743930470025283</v>
      </c>
      <c r="F227" s="13">
        <f t="shared" si="57"/>
        <v>2793.4678752371342</v>
      </c>
      <c r="G227" s="14">
        <f t="shared" si="58"/>
        <v>5.6724523044329285</v>
      </c>
      <c r="H227" s="15">
        <f t="shared" si="59"/>
        <v>5.8968464012810067</v>
      </c>
      <c r="I227" s="15">
        <f t="shared" si="60"/>
        <v>2.7557747534885246</v>
      </c>
      <c r="J227" s="15">
        <f t="shared" si="55"/>
        <v>1.2591295827384161</v>
      </c>
      <c r="K227" s="15">
        <f t="shared" si="56"/>
        <v>494.91869471420966</v>
      </c>
      <c r="L227" s="35">
        <f t="shared" si="61"/>
        <v>2.1848492432166141E-5</v>
      </c>
      <c r="M227" s="14">
        <f t="shared" si="62"/>
        <v>7.931298092855267E-2</v>
      </c>
    </row>
    <row r="228" spans="1:13">
      <c r="A228" s="26">
        <f t="shared" si="50"/>
        <v>350</v>
      </c>
      <c r="B228" s="34">
        <f t="shared" si="51"/>
        <v>120</v>
      </c>
      <c r="C228" s="11">
        <f t="shared" si="52"/>
        <v>623.15</v>
      </c>
      <c r="D228" s="14">
        <f t="shared" si="53"/>
        <v>58.062815685974343</v>
      </c>
      <c r="E228" s="15">
        <f t="shared" si="54"/>
        <v>0.71861181960340881</v>
      </c>
      <c r="F228" s="13">
        <f t="shared" si="57"/>
        <v>2848.0125689720248</v>
      </c>
      <c r="G228" s="14">
        <f t="shared" si="58"/>
        <v>5.7607106754395563</v>
      </c>
      <c r="H228" s="15">
        <f t="shared" si="59"/>
        <v>5.0746018479669672</v>
      </c>
      <c r="I228" s="15">
        <f t="shared" si="60"/>
        <v>2.5702066900200364</v>
      </c>
      <c r="J228" s="15">
        <f t="shared" si="55"/>
        <v>1.26611414456464</v>
      </c>
      <c r="K228" s="15">
        <f t="shared" si="56"/>
        <v>511.53812470446087</v>
      </c>
      <c r="L228" s="35">
        <f t="shared" si="61"/>
        <v>2.230654342133091E-5</v>
      </c>
      <c r="M228" s="14">
        <f t="shared" si="62"/>
        <v>7.6407596127444063E-2</v>
      </c>
    </row>
    <row r="229" spans="1:13">
      <c r="A229" s="26">
        <f t="shared" si="50"/>
        <v>100</v>
      </c>
      <c r="B229" s="34">
        <f t="shared" si="51"/>
        <v>130</v>
      </c>
      <c r="C229" s="11">
        <f t="shared" si="52"/>
        <v>373.15</v>
      </c>
      <c r="D229" s="14">
        <f t="shared" si="53"/>
        <v>964.29469237222906</v>
      </c>
      <c r="E229" s="15">
        <f t="shared" si="54"/>
        <v>7.8280561478540386E-2</v>
      </c>
      <c r="F229" s="13">
        <f t="shared" si="57"/>
        <v>428.81093104372991</v>
      </c>
      <c r="G229" s="14">
        <f t="shared" si="58"/>
        <v>1.2970839136978103</v>
      </c>
      <c r="H229" s="15">
        <f t="shared" si="59"/>
        <v>4.1880140616772259</v>
      </c>
      <c r="I229" s="15">
        <f t="shared" si="60"/>
        <v>3.7490463499465694</v>
      </c>
      <c r="J229" s="15">
        <f t="shared" si="55"/>
        <v>-1</v>
      </c>
      <c r="K229" s="15">
        <f t="shared" si="56"/>
        <v>1571.1441128957222</v>
      </c>
      <c r="L229" s="35">
        <f t="shared" si="61"/>
        <v>2.8519318712284618E-4</v>
      </c>
      <c r="M229" s="14">
        <f t="shared" si="62"/>
        <v>0.68612897888161739</v>
      </c>
    </row>
    <row r="230" spans="1:13">
      <c r="A230" s="26">
        <f t="shared" si="50"/>
        <v>110</v>
      </c>
      <c r="B230" s="34">
        <f t="shared" si="51"/>
        <v>130</v>
      </c>
      <c r="C230" s="11">
        <f t="shared" si="52"/>
        <v>383.15</v>
      </c>
      <c r="D230" s="14">
        <f t="shared" si="53"/>
        <v>957.04666002383829</v>
      </c>
      <c r="E230" s="15">
        <f t="shared" si="54"/>
        <v>7.6814854537971294E-2</v>
      </c>
      <c r="F230" s="13">
        <f t="shared" si="57"/>
        <v>470.75226147153438</v>
      </c>
      <c r="G230" s="14">
        <f t="shared" si="58"/>
        <v>1.4080015349341146</v>
      </c>
      <c r="H230" s="15">
        <f t="shared" si="59"/>
        <v>4.2005583570692737</v>
      </c>
      <c r="I230" s="15">
        <f t="shared" si="60"/>
        <v>3.7006308546436082</v>
      </c>
      <c r="J230" s="15">
        <f t="shared" si="55"/>
        <v>-1</v>
      </c>
      <c r="K230" s="15">
        <f t="shared" si="56"/>
        <v>1561.6854971780213</v>
      </c>
      <c r="L230" s="35">
        <f t="shared" si="61"/>
        <v>2.5810584202864338E-4</v>
      </c>
      <c r="M230" s="14">
        <f t="shared" si="62"/>
        <v>0.68897763272026569</v>
      </c>
    </row>
    <row r="231" spans="1:13">
      <c r="A231" s="26">
        <f t="shared" si="50"/>
        <v>120</v>
      </c>
      <c r="B231" s="34">
        <f t="shared" si="51"/>
        <v>130</v>
      </c>
      <c r="C231" s="11">
        <f t="shared" si="52"/>
        <v>393.15</v>
      </c>
      <c r="D231" s="14">
        <f t="shared" si="53"/>
        <v>949.38225761995409</v>
      </c>
      <c r="E231" s="15">
        <f t="shared" si="54"/>
        <v>7.546537997865313E-2</v>
      </c>
      <c r="F231" s="13">
        <f t="shared" si="57"/>
        <v>512.8284391401354</v>
      </c>
      <c r="G231" s="14">
        <f t="shared" si="58"/>
        <v>1.5164085814089892</v>
      </c>
      <c r="H231" s="15">
        <f t="shared" si="59"/>
        <v>4.215006560140206</v>
      </c>
      <c r="I231" s="15">
        <f t="shared" si="60"/>
        <v>3.6529160792404287</v>
      </c>
      <c r="J231" s="15">
        <f t="shared" si="55"/>
        <v>-1</v>
      </c>
      <c r="K231" s="15">
        <f t="shared" si="56"/>
        <v>1549.5433725655528</v>
      </c>
      <c r="L231" s="35">
        <f t="shared" si="61"/>
        <v>2.3539946543419416E-4</v>
      </c>
      <c r="M231" s="14">
        <f t="shared" si="62"/>
        <v>0.69074153563401064</v>
      </c>
    </row>
    <row r="232" spans="1:13">
      <c r="A232" s="26">
        <f t="shared" si="50"/>
        <v>130</v>
      </c>
      <c r="B232" s="34">
        <f t="shared" si="51"/>
        <v>130</v>
      </c>
      <c r="C232" s="11">
        <f t="shared" si="52"/>
        <v>403.15</v>
      </c>
      <c r="D232" s="14">
        <f t="shared" si="53"/>
        <v>941.30986867262641</v>
      </c>
      <c r="E232" s="15">
        <f t="shared" si="54"/>
        <v>7.4224602138936849E-2</v>
      </c>
      <c r="F232" s="13">
        <f t="shared" si="57"/>
        <v>555.05927895806497</v>
      </c>
      <c r="G232" s="14">
        <f t="shared" si="58"/>
        <v>1.6224809522227632</v>
      </c>
      <c r="H232" s="15">
        <f t="shared" si="59"/>
        <v>4.2315224728147633</v>
      </c>
      <c r="I232" s="15">
        <f t="shared" si="60"/>
        <v>3.6060248756057662</v>
      </c>
      <c r="J232" s="15">
        <f t="shared" si="55"/>
        <v>-1</v>
      </c>
      <c r="K232" s="15">
        <f t="shared" si="56"/>
        <v>1534.9293823442138</v>
      </c>
      <c r="L232" s="35">
        <f t="shared" si="61"/>
        <v>2.1617594820679497E-4</v>
      </c>
      <c r="M232" s="14">
        <f t="shared" si="62"/>
        <v>0.69152865238122063</v>
      </c>
    </row>
    <row r="233" spans="1:13">
      <c r="A233" s="26">
        <f t="shared" si="50"/>
        <v>140</v>
      </c>
      <c r="B233" s="34">
        <f t="shared" si="51"/>
        <v>130</v>
      </c>
      <c r="C233" s="11">
        <f t="shared" si="52"/>
        <v>413.15</v>
      </c>
      <c r="D233" s="14">
        <f t="shared" si="53"/>
        <v>932.83307215350919</v>
      </c>
      <c r="E233" s="15">
        <f t="shared" si="54"/>
        <v>7.3086213512259704E-2</v>
      </c>
      <c r="F233" s="13">
        <f t="shared" si="57"/>
        <v>597.46650234938465</v>
      </c>
      <c r="G233" s="14">
        <f t="shared" si="58"/>
        <v>1.7263862840316537</v>
      </c>
      <c r="H233" s="15">
        <f t="shared" si="59"/>
        <v>4.2503245027198915</v>
      </c>
      <c r="I233" s="15">
        <f t="shared" si="60"/>
        <v>3.5600556426452443</v>
      </c>
      <c r="J233" s="15">
        <f t="shared" si="55"/>
        <v>-1</v>
      </c>
      <c r="K233" s="15">
        <f t="shared" si="56"/>
        <v>1518.0088586814772</v>
      </c>
      <c r="L233" s="35">
        <f t="shared" si="61"/>
        <v>1.997524985438319E-4</v>
      </c>
      <c r="M233" s="14">
        <f t="shared" si="62"/>
        <v>0.69141468600923195</v>
      </c>
    </row>
    <row r="234" spans="1:13">
      <c r="A234" s="26">
        <f t="shared" si="50"/>
        <v>150</v>
      </c>
      <c r="B234" s="34">
        <f t="shared" si="51"/>
        <v>130</v>
      </c>
      <c r="C234" s="11">
        <f t="shared" si="52"/>
        <v>423.15</v>
      </c>
      <c r="D234" s="14">
        <f t="shared" si="53"/>
        <v>923.95087120950473</v>
      </c>
      <c r="E234" s="15">
        <f t="shared" si="54"/>
        <v>7.2045013955689879E-2</v>
      </c>
      <c r="F234" s="13">
        <f t="shared" si="57"/>
        <v>640.07430952451023</v>
      </c>
      <c r="G234" s="14">
        <f t="shared" si="58"/>
        <v>1.8282861102882257</v>
      </c>
      <c r="H234" s="15">
        <f t="shared" si="59"/>
        <v>4.2716908622398684</v>
      </c>
      <c r="I234" s="15">
        <f t="shared" si="60"/>
        <v>3.5150969118493793</v>
      </c>
      <c r="J234" s="15">
        <f t="shared" si="55"/>
        <v>-1</v>
      </c>
      <c r="K234" s="15">
        <f t="shared" si="56"/>
        <v>1498.905992448502</v>
      </c>
      <c r="L234" s="35">
        <f t="shared" si="61"/>
        <v>1.8560226302271249E-4</v>
      </c>
      <c r="M234" s="14">
        <f t="shared" si="62"/>
        <v>0.6904480152465029</v>
      </c>
    </row>
    <row r="235" spans="1:13">
      <c r="A235" s="26">
        <f t="shared" si="50"/>
        <v>160</v>
      </c>
      <c r="B235" s="34">
        <f t="shared" si="51"/>
        <v>130</v>
      </c>
      <c r="C235" s="11">
        <f t="shared" si="52"/>
        <v>433.15</v>
      </c>
      <c r="D235" s="14">
        <f t="shared" si="53"/>
        <v>914.65775780939077</v>
      </c>
      <c r="E235" s="15">
        <f t="shared" si="54"/>
        <v>7.1096826087150136E-2</v>
      </c>
      <c r="F235" s="13">
        <f t="shared" si="57"/>
        <v>682.91000502535223</v>
      </c>
      <c r="G235" s="14">
        <f t="shared" si="58"/>
        <v>1.9283378926903896</v>
      </c>
      <c r="H235" s="15">
        <f t="shared" si="59"/>
        <v>4.2959652770485741</v>
      </c>
      <c r="I235" s="15">
        <f t="shared" si="60"/>
        <v>3.4712369805406147</v>
      </c>
      <c r="J235" s="15">
        <f t="shared" si="55"/>
        <v>-1</v>
      </c>
      <c r="K235" s="15">
        <f t="shared" si="56"/>
        <v>1477.7087959846106</v>
      </c>
      <c r="L235" s="35">
        <f t="shared" si="61"/>
        <v>1.7331328498954569E-4</v>
      </c>
      <c r="M235" s="14">
        <f t="shared" si="62"/>
        <v>0.68865478847482242</v>
      </c>
    </row>
    <row r="236" spans="1:13">
      <c r="A236" s="26">
        <f t="shared" si="50"/>
        <v>170</v>
      </c>
      <c r="B236" s="34">
        <f t="shared" si="51"/>
        <v>130</v>
      </c>
      <c r="C236" s="11">
        <f t="shared" si="52"/>
        <v>443.15</v>
      </c>
      <c r="D236" s="14">
        <f t="shared" si="53"/>
        <v>904.94362054683643</v>
      </c>
      <c r="E236" s="15">
        <f t="shared" si="54"/>
        <v>7.0238443331544304E-2</v>
      </c>
      <c r="F236" s="13">
        <f t="shared" si="57"/>
        <v>726.00468896599864</v>
      </c>
      <c r="G236" s="14">
        <f t="shared" si="58"/>
        <v>2.0266969706354296</v>
      </c>
      <c r="H236" s="15">
        <f t="shared" si="59"/>
        <v>4.3235646497725382</v>
      </c>
      <c r="I236" s="15">
        <f t="shared" si="60"/>
        <v>3.4285698242758573</v>
      </c>
      <c r="J236" s="15">
        <f t="shared" si="55"/>
        <v>-1</v>
      </c>
      <c r="K236" s="15">
        <f t="shared" si="56"/>
        <v>1454.4739278643622</v>
      </c>
      <c r="L236" s="35">
        <f t="shared" si="61"/>
        <v>1.6255952398501046E-4</v>
      </c>
      <c r="M236" s="14">
        <f t="shared" si="62"/>
        <v>0.68604335843649855</v>
      </c>
    </row>
    <row r="237" spans="1:13">
      <c r="A237" s="26">
        <f t="shared" si="50"/>
        <v>180</v>
      </c>
      <c r="B237" s="34">
        <f t="shared" si="51"/>
        <v>130</v>
      </c>
      <c r="C237" s="11">
        <f t="shared" si="52"/>
        <v>453.15</v>
      </c>
      <c r="D237" s="14">
        <f t="shared" si="53"/>
        <v>894.79348943570221</v>
      </c>
      <c r="E237" s="15">
        <f t="shared" si="54"/>
        <v>6.9467609533603425E-2</v>
      </c>
      <c r="F237" s="13">
        <f t="shared" si="57"/>
        <v>769.39404057481511</v>
      </c>
      <c r="G237" s="14">
        <f t="shared" si="58"/>
        <v>2.1235184989837328</v>
      </c>
      <c r="H237" s="15">
        <f t="shared" si="59"/>
        <v>4.3549901033165064</v>
      </c>
      <c r="I237" s="15">
        <f t="shared" si="60"/>
        <v>3.3871981696593658</v>
      </c>
      <c r="J237" s="15">
        <f t="shared" si="55"/>
        <v>-1</v>
      </c>
      <c r="K237" s="15">
        <f t="shared" si="56"/>
        <v>1429.2314219482382</v>
      </c>
      <c r="L237" s="35">
        <f t="shared" si="61"/>
        <v>1.5308000121931102E-4</v>
      </c>
      <c r="M237" s="14">
        <f t="shared" si="62"/>
        <v>0.68260763806545643</v>
      </c>
    </row>
    <row r="238" spans="1:13">
      <c r="A238" s="26">
        <f t="shared" si="50"/>
        <v>190</v>
      </c>
      <c r="B238" s="34">
        <f t="shared" si="51"/>
        <v>130</v>
      </c>
      <c r="C238" s="11">
        <f t="shared" si="52"/>
        <v>463.15</v>
      </c>
      <c r="D238" s="14">
        <f t="shared" si="53"/>
        <v>884.18709822723224</v>
      </c>
      <c r="E238" s="15">
        <f t="shared" si="54"/>
        <v>6.8783031450722981E-2</v>
      </c>
      <c r="F238" s="13">
        <f t="shared" si="57"/>
        <v>813.1192356998871</v>
      </c>
      <c r="G238" s="14">
        <f t="shared" si="58"/>
        <v>2.2189594665568735</v>
      </c>
      <c r="H238" s="15">
        <f t="shared" si="59"/>
        <v>4.3908430331877675</v>
      </c>
      <c r="I238" s="15">
        <f t="shared" si="60"/>
        <v>3.347234332820757</v>
      </c>
      <c r="J238" s="15">
        <f t="shared" si="55"/>
        <v>-1</v>
      </c>
      <c r="K238" s="15">
        <f t="shared" si="56"/>
        <v>1401.9893155605128</v>
      </c>
      <c r="L238" s="35">
        <f t="shared" si="61"/>
        <v>1.4466353601086588E-4</v>
      </c>
      <c r="M238" s="14">
        <f t="shared" si="62"/>
        <v>0.6783292150320217</v>
      </c>
    </row>
    <row r="239" spans="1:13">
      <c r="A239" s="26">
        <f t="shared" si="50"/>
        <v>200</v>
      </c>
      <c r="B239" s="34">
        <f t="shared" si="51"/>
        <v>130</v>
      </c>
      <c r="C239" s="11">
        <f t="shared" si="52"/>
        <v>473.15</v>
      </c>
      <c r="D239" s="14">
        <f t="shared" si="53"/>
        <v>873.09822892550244</v>
      </c>
      <c r="E239" s="15">
        <f t="shared" si="54"/>
        <v>6.8184428173089548E-2</v>
      </c>
      <c r="F239" s="13">
        <f t="shared" si="57"/>
        <v>857.22805847994357</v>
      </c>
      <c r="G239" s="14">
        <f t="shared" si="58"/>
        <v>2.3131809135658115</v>
      </c>
      <c r="H239" s="15">
        <f t="shared" si="59"/>
        <v>4.4318483085895641</v>
      </c>
      <c r="I239" s="15">
        <f t="shared" si="60"/>
        <v>3.308799270572619</v>
      </c>
      <c r="J239" s="15">
        <f t="shared" si="55"/>
        <v>-1</v>
      </c>
      <c r="K239" s="15">
        <f t="shared" si="56"/>
        <v>1372.7380335500172</v>
      </c>
      <c r="L239" s="35">
        <f t="shared" si="61"/>
        <v>1.3713739888282644E-4</v>
      </c>
      <c r="M239" s="14">
        <f t="shared" si="62"/>
        <v>0.67317822403651251</v>
      </c>
    </row>
    <row r="240" spans="1:13">
      <c r="A240" s="26">
        <f t="shared" ref="A240:A303" si="63">A214</f>
        <v>210</v>
      </c>
      <c r="B240" s="34">
        <f t="shared" ref="B240:B303" si="64">B214+10</f>
        <v>130</v>
      </c>
      <c r="C240" s="11">
        <f t="shared" ref="C240:C303" si="65">A240+$E$13</f>
        <v>483.15</v>
      </c>
      <c r="D240" s="14">
        <f t="shared" ref="D240:D303" si="66">densw(C240,B240)</f>
        <v>861.49378114268131</v>
      </c>
      <c r="E240" s="15">
        <f t="shared" ref="E240:E303" si="67">B240*100*$E$11/($E$12*C240)/D240</f>
        <v>6.7672625116235299E-2</v>
      </c>
      <c r="F240" s="13">
        <f t="shared" si="57"/>
        <v>901.77629319287064</v>
      </c>
      <c r="G240" s="14">
        <f t="shared" si="58"/>
        <v>2.4063505028135084</v>
      </c>
      <c r="H240" s="15">
        <f t="shared" si="59"/>
        <v>4.4788877446299873</v>
      </c>
      <c r="I240" s="15">
        <f t="shared" si="60"/>
        <v>3.2720203291252092</v>
      </c>
      <c r="J240" s="15">
        <f t="shared" ref="J240:J303" si="68">isentropic_coeffW(C240,B240)</f>
        <v>-1</v>
      </c>
      <c r="K240" s="15">
        <f t="shared" ref="K240:K303" si="69">spsoundW(C240,B240)</f>
        <v>1341.4540609656294</v>
      </c>
      <c r="L240" s="35">
        <f t="shared" si="61"/>
        <v>1.3035874935285515E-4</v>
      </c>
      <c r="M240" s="14">
        <f t="shared" si="62"/>
        <v>0.66711308058210084</v>
      </c>
    </row>
    <row r="241" spans="1:13">
      <c r="A241" s="26">
        <f t="shared" si="63"/>
        <v>220</v>
      </c>
      <c r="B241" s="34">
        <f t="shared" si="64"/>
        <v>130</v>
      </c>
      <c r="C241" s="11">
        <f t="shared" si="65"/>
        <v>493.15</v>
      </c>
      <c r="D241" s="14">
        <f t="shared" si="66"/>
        <v>849.33247443288315</v>
      </c>
      <c r="E241" s="15">
        <f t="shared" si="67"/>
        <v>6.7249705547143546E-2</v>
      </c>
      <c r="F241" s="13">
        <f t="shared" si="57"/>
        <v>946.82952162333766</v>
      </c>
      <c r="G241" s="14">
        <f t="shared" si="58"/>
        <v>2.4986456578305982</v>
      </c>
      <c r="H241" s="15">
        <f t="shared" si="59"/>
        <v>4.5330487694637478</v>
      </c>
      <c r="I241" s="15">
        <f t="shared" si="60"/>
        <v>3.2370285202594502</v>
      </c>
      <c r="J241" s="15">
        <f t="shared" si="68"/>
        <v>-1</v>
      </c>
      <c r="K241" s="15">
        <f t="shared" si="69"/>
        <v>1308.1018324109612</v>
      </c>
      <c r="L241" s="35">
        <f t="shared" si="61"/>
        <v>1.2420807465672988E-4</v>
      </c>
      <c r="M241" s="14">
        <f t="shared" si="62"/>
        <v>0.66007926506272541</v>
      </c>
    </row>
    <row r="242" spans="1:13">
      <c r="A242" s="26">
        <f t="shared" si="63"/>
        <v>230</v>
      </c>
      <c r="B242" s="34">
        <f t="shared" si="64"/>
        <v>130</v>
      </c>
      <c r="C242" s="11">
        <f t="shared" si="65"/>
        <v>503.15</v>
      </c>
      <c r="D242" s="14">
        <f t="shared" si="66"/>
        <v>836.56303316287506</v>
      </c>
      <c r="E242" s="15">
        <f t="shared" si="67"/>
        <v>6.6919241172467323E-2</v>
      </c>
      <c r="F242" s="13">
        <f t="shared" si="57"/>
        <v>992.46551542129339</v>
      </c>
      <c r="G242" s="14">
        <f t="shared" si="58"/>
        <v>2.5902575797965595</v>
      </c>
      <c r="H242" s="15">
        <f t="shared" si="59"/>
        <v>4.5956965276632928</v>
      </c>
      <c r="I242" s="15">
        <f t="shared" si="60"/>
        <v>3.2039568743416647</v>
      </c>
      <c r="J242" s="15">
        <f t="shared" si="68"/>
        <v>-1</v>
      </c>
      <c r="K242" s="15">
        <f t="shared" si="69"/>
        <v>1272.6318880171586</v>
      </c>
      <c r="L242" s="35">
        <f t="shared" si="61"/>
        <v>1.1858407100601838E-4</v>
      </c>
      <c r="M242" s="14">
        <f t="shared" si="62"/>
        <v>0.65200745169070373</v>
      </c>
    </row>
    <row r="243" spans="1:13">
      <c r="A243" s="26">
        <f t="shared" si="63"/>
        <v>240</v>
      </c>
      <c r="B243" s="34">
        <f t="shared" si="64"/>
        <v>130</v>
      </c>
      <c r="C243" s="11">
        <f t="shared" si="65"/>
        <v>513.15</v>
      </c>
      <c r="D243" s="14">
        <f t="shared" si="66"/>
        <v>823.12159971306448</v>
      </c>
      <c r="E243" s="15">
        <f t="shared" si="67"/>
        <v>6.6686637966677079E-2</v>
      </c>
      <c r="F243" s="13">
        <f t="shared" si="57"/>
        <v>1038.7775230570376</v>
      </c>
      <c r="G243" s="14">
        <f t="shared" si="58"/>
        <v>2.6813966287110125</v>
      </c>
      <c r="H243" s="15">
        <f t="shared" si="59"/>
        <v>4.6685838483939559</v>
      </c>
      <c r="I243" s="15">
        <f t="shared" si="60"/>
        <v>3.1729423300824511</v>
      </c>
      <c r="J243" s="15">
        <f t="shared" si="68"/>
        <v>-1</v>
      </c>
      <c r="K243" s="15">
        <f t="shared" si="69"/>
        <v>1234.9725091637977</v>
      </c>
      <c r="L243" s="35">
        <f t="shared" si="61"/>
        <v>1.1339955244827463E-4</v>
      </c>
      <c r="M243" s="14">
        <f t="shared" si="62"/>
        <v>0.6428114496317241</v>
      </c>
    </row>
    <row r="244" spans="1:13">
      <c r="A244" s="26">
        <f t="shared" si="63"/>
        <v>250</v>
      </c>
      <c r="B244" s="34">
        <f t="shared" si="64"/>
        <v>130</v>
      </c>
      <c r="C244" s="11">
        <f t="shared" si="65"/>
        <v>523.15</v>
      </c>
      <c r="D244" s="14">
        <f t="shared" si="66"/>
        <v>808.92793619663928</v>
      </c>
      <c r="E244" s="15">
        <f t="shared" si="67"/>
        <v>6.6559659370113947E-2</v>
      </c>
      <c r="F244" s="13">
        <f t="shared" si="57"/>
        <v>1085.8789472675962</v>
      </c>
      <c r="G244" s="14">
        <f t="shared" si="58"/>
        <v>2.7722998672232841</v>
      </c>
      <c r="H244" s="15">
        <f t="shared" si="59"/>
        <v>4.7540251209942275</v>
      </c>
      <c r="I244" s="15">
        <f t="shared" si="60"/>
        <v>3.1441340572241123</v>
      </c>
      <c r="J244" s="15">
        <f t="shared" si="68"/>
        <v>-1</v>
      </c>
      <c r="K244" s="15">
        <f t="shared" si="69"/>
        <v>1195.0120479958862</v>
      </c>
      <c r="L244" s="35">
        <f t="shared" si="61"/>
        <v>1.0857805679544906E-4</v>
      </c>
      <c r="M244" s="14">
        <f t="shared" si="62"/>
        <v>0.63238671149308001</v>
      </c>
    </row>
    <row r="245" spans="1:13">
      <c r="A245" s="26">
        <f t="shared" si="63"/>
        <v>260</v>
      </c>
      <c r="B245" s="34">
        <f t="shared" si="64"/>
        <v>130</v>
      </c>
      <c r="C245" s="11">
        <f t="shared" si="65"/>
        <v>533.15</v>
      </c>
      <c r="D245" s="14">
        <f t="shared" si="66"/>
        <v>793.87964546333114</v>
      </c>
      <c r="E245" s="15">
        <f t="shared" si="67"/>
        <v>6.65492359510471E-2</v>
      </c>
      <c r="F245" s="13">
        <f t="shared" si="57"/>
        <v>1133.9102672488889</v>
      </c>
      <c r="G245" s="14">
        <f t="shared" si="58"/>
        <v>2.8632421376816661</v>
      </c>
      <c r="H245" s="15">
        <f t="shared" si="59"/>
        <v>4.8551820292125383</v>
      </c>
      <c r="I245" s="15">
        <f t="shared" si="60"/>
        <v>3.1177104533856417</v>
      </c>
      <c r="J245" s="15">
        <f t="shared" si="68"/>
        <v>-1</v>
      </c>
      <c r="K245" s="15">
        <f t="shared" si="69"/>
        <v>1152.570785035156</v>
      </c>
      <c r="L245" s="35">
        <f t="shared" si="61"/>
        <v>1.0405085462034469E-4</v>
      </c>
      <c r="M245" s="14">
        <f t="shared" si="62"/>
        <v>0.6206105884202312</v>
      </c>
    </row>
    <row r="246" spans="1:13">
      <c r="A246" s="26">
        <f t="shared" si="63"/>
        <v>270</v>
      </c>
      <c r="B246" s="34">
        <f t="shared" si="64"/>
        <v>130</v>
      </c>
      <c r="C246" s="11">
        <f t="shared" si="65"/>
        <v>543.15</v>
      </c>
      <c r="D246" s="14">
        <f t="shared" si="66"/>
        <v>777.84305555168351</v>
      </c>
      <c r="E246" s="15">
        <f t="shared" si="67"/>
        <v>6.6670757835182809E-2</v>
      </c>
      <c r="F246" s="13">
        <f t="shared" si="57"/>
        <v>1183.0497273904946</v>
      </c>
      <c r="G246" s="14">
        <f t="shared" si="58"/>
        <v>2.9545531041013162</v>
      </c>
      <c r="H246" s="15">
        <f t="shared" si="59"/>
        <v>4.9765515055169809</v>
      </c>
      <c r="I246" s="15">
        <f t="shared" si="60"/>
        <v>3.0939080620376003</v>
      </c>
      <c r="J246" s="15">
        <f t="shared" si="68"/>
        <v>-1</v>
      </c>
      <c r="K246" s="15">
        <f t="shared" si="69"/>
        <v>1107.3627382780271</v>
      </c>
      <c r="L246" s="35">
        <f t="shared" si="61"/>
        <v>9.9754056762495319E-5</v>
      </c>
      <c r="M246" s="14">
        <f t="shared" si="62"/>
        <v>0.60734599033306169</v>
      </c>
    </row>
    <row r="247" spans="1:13">
      <c r="A247" s="26">
        <f t="shared" si="63"/>
        <v>280</v>
      </c>
      <c r="B247" s="34">
        <f t="shared" si="64"/>
        <v>130</v>
      </c>
      <c r="C247" s="11">
        <f t="shared" si="65"/>
        <v>553.15</v>
      </c>
      <c r="D247" s="14">
        <f t="shared" si="66"/>
        <v>760.63830724491413</v>
      </c>
      <c r="E247" s="15">
        <f t="shared" si="67"/>
        <v>6.6946217485295945E-2</v>
      </c>
      <c r="F247" s="13">
        <f t="shared" si="57"/>
        <v>1233.5306033220447</v>
      </c>
      <c r="G247" s="14">
        <f t="shared" si="58"/>
        <v>3.0466447296184058</v>
      </c>
      <c r="H247" s="15">
        <f t="shared" si="59"/>
        <v>5.1248348543251536</v>
      </c>
      <c r="I247" s="15">
        <f t="shared" si="60"/>
        <v>3.0730808105835425</v>
      </c>
      <c r="J247" s="15">
        <f t="shared" si="68"/>
        <v>-1</v>
      </c>
      <c r="K247" s="15">
        <f t="shared" si="69"/>
        <v>1058.9417871439516</v>
      </c>
      <c r="L247" s="35">
        <f t="shared" si="61"/>
        <v>9.5625437398759661E-5</v>
      </c>
      <c r="M247" s="14">
        <f t="shared" si="62"/>
        <v>0.59245027934604155</v>
      </c>
    </row>
    <row r="248" spans="1:13">
      <c r="A248" s="26">
        <f t="shared" si="63"/>
        <v>290</v>
      </c>
      <c r="B248" s="34">
        <f t="shared" si="64"/>
        <v>130</v>
      </c>
      <c r="C248" s="11">
        <f t="shared" si="65"/>
        <v>563.15</v>
      </c>
      <c r="D248" s="14">
        <f t="shared" si="66"/>
        <v>742.01384540467393</v>
      </c>
      <c r="E248" s="15">
        <f t="shared" si="67"/>
        <v>6.7407940266542135E-2</v>
      </c>
      <c r="F248" s="13">
        <f t="shared" si="57"/>
        <v>1285.670531209581</v>
      </c>
      <c r="G248" s="14">
        <f t="shared" si="58"/>
        <v>3.1400578874015554</v>
      </c>
      <c r="H248" s="15">
        <f t="shared" si="59"/>
        <v>5.3105751569456059</v>
      </c>
      <c r="I248" s="15">
        <f t="shared" si="60"/>
        <v>3.0558476346052497</v>
      </c>
      <c r="J248" s="15">
        <f t="shared" si="68"/>
        <v>-1</v>
      </c>
      <c r="K248" s="15">
        <f t="shared" si="69"/>
        <v>1006.6090720713115</v>
      </c>
      <c r="L248" s="35">
        <f t="shared" si="61"/>
        <v>9.1600362667894797E-5</v>
      </c>
      <c r="M248" s="14">
        <f t="shared" si="62"/>
        <v>0.57579003510893867</v>
      </c>
    </row>
    <row r="249" spans="1:13">
      <c r="A249" s="26">
        <f t="shared" si="63"/>
        <v>300</v>
      </c>
      <c r="B249" s="34">
        <f t="shared" si="64"/>
        <v>130</v>
      </c>
      <c r="C249" s="11">
        <f t="shared" si="65"/>
        <v>573.15</v>
      </c>
      <c r="D249" s="14">
        <f t="shared" si="66"/>
        <v>721.60009977629261</v>
      </c>
      <c r="E249" s="15">
        <f t="shared" si="67"/>
        <v>6.8105513695528877E-2</v>
      </c>
      <c r="F249" s="13">
        <f t="shared" si="57"/>
        <v>1339.9245024220895</v>
      </c>
      <c r="G249" s="14">
        <f t="shared" si="58"/>
        <v>3.2355464842302202</v>
      </c>
      <c r="H249" s="15">
        <f t="shared" si="59"/>
        <v>5.5514827074568487</v>
      </c>
      <c r="I249" s="15">
        <f t="shared" si="60"/>
        <v>3.0433435136404232</v>
      </c>
      <c r="J249" s="15">
        <f t="shared" si="68"/>
        <v>-1</v>
      </c>
      <c r="K249" s="15">
        <f t="shared" si="69"/>
        <v>949.29451983277045</v>
      </c>
      <c r="L249" s="35">
        <f t="shared" si="61"/>
        <v>8.7605638784241986E-5</v>
      </c>
      <c r="M249" s="14">
        <f t="shared" si="62"/>
        <v>0.55725772059659939</v>
      </c>
    </row>
    <row r="250" spans="1:13">
      <c r="A250" s="26">
        <f t="shared" si="63"/>
        <v>310</v>
      </c>
      <c r="B250" s="34">
        <f t="shared" si="64"/>
        <v>130</v>
      </c>
      <c r="C250" s="11">
        <f t="shared" si="65"/>
        <v>583.15</v>
      </c>
      <c r="D250" s="14">
        <f t="shared" si="66"/>
        <v>698.81997309655378</v>
      </c>
      <c r="E250" s="15">
        <f t="shared" si="67"/>
        <v>6.9119655553317658E-2</v>
      </c>
      <c r="F250" s="13">
        <f t="shared" si="57"/>
        <v>1396.9882027243966</v>
      </c>
      <c r="G250" s="14">
        <f t="shared" si="58"/>
        <v>3.3342412974490809</v>
      </c>
      <c r="H250" s="15">
        <f t="shared" si="59"/>
        <v>5.879774418312425</v>
      </c>
      <c r="I250" s="15">
        <f t="shared" si="60"/>
        <v>3.0370217675303346</v>
      </c>
      <c r="J250" s="15">
        <f t="shared" si="68"/>
        <v>-1</v>
      </c>
      <c r="K250" s="15">
        <f t="shared" si="69"/>
        <v>885.70634378842533</v>
      </c>
      <c r="L250" s="35">
        <f t="shared" si="61"/>
        <v>8.3548878697653221E-5</v>
      </c>
      <c r="M250" s="14">
        <f t="shared" si="62"/>
        <v>0.53677902865002436</v>
      </c>
    </row>
    <row r="251" spans="1:13">
      <c r="A251" s="26">
        <f t="shared" si="63"/>
        <v>320</v>
      </c>
      <c r="B251" s="34">
        <f t="shared" si="64"/>
        <v>130</v>
      </c>
      <c r="C251" s="11">
        <f t="shared" si="65"/>
        <v>593.15</v>
      </c>
      <c r="D251" s="14">
        <f t="shared" si="66"/>
        <v>672.70474743931698</v>
      </c>
      <c r="E251" s="15">
        <f t="shared" si="67"/>
        <v>7.0592429208789373E-2</v>
      </c>
      <c r="F251" s="13">
        <f t="shared" si="57"/>
        <v>1458.0197068724613</v>
      </c>
      <c r="G251" s="14">
        <f t="shared" si="58"/>
        <v>3.4380008764597179</v>
      </c>
      <c r="H251" s="15">
        <f t="shared" si="59"/>
        <v>6.3605893348897782</v>
      </c>
      <c r="I251" s="15">
        <f t="shared" si="60"/>
        <v>3.0369572136163949</v>
      </c>
      <c r="J251" s="15">
        <f t="shared" si="68"/>
        <v>-1</v>
      </c>
      <c r="K251" s="15">
        <f t="shared" si="69"/>
        <v>815.02320903820112</v>
      </c>
      <c r="L251" s="35">
        <f t="shared" si="61"/>
        <v>7.9298281426305178E-5</v>
      </c>
      <c r="M251" s="14">
        <f t="shared" si="62"/>
        <v>0.51430384360377412</v>
      </c>
    </row>
    <row r="252" spans="1:13">
      <c r="A252" s="26">
        <f t="shared" si="63"/>
        <v>330</v>
      </c>
      <c r="B252" s="34">
        <f t="shared" si="64"/>
        <v>130</v>
      </c>
      <c r="C252" s="11">
        <f t="shared" si="65"/>
        <v>603.15</v>
      </c>
      <c r="D252" s="14">
        <f t="shared" si="66"/>
        <v>641.40644014764587</v>
      </c>
      <c r="E252" s="15">
        <f t="shared" si="67"/>
        <v>7.2809576666213627E-2</v>
      </c>
      <c r="F252" s="13">
        <f t="shared" si="57"/>
        <v>1525.2254814234011</v>
      </c>
      <c r="G252" s="14">
        <f t="shared" si="58"/>
        <v>3.5503411109552663</v>
      </c>
      <c r="H252" s="15">
        <f t="shared" si="59"/>
        <v>7.1610383922801342</v>
      </c>
      <c r="I252" s="15">
        <f t="shared" si="60"/>
        <v>3.0486421546464566</v>
      </c>
      <c r="J252" s="15">
        <f t="shared" si="68"/>
        <v>-1</v>
      </c>
      <c r="K252" s="15">
        <f t="shared" si="69"/>
        <v>733.04125037849894</v>
      </c>
      <c r="L252" s="35">
        <f t="shared" si="61"/>
        <v>7.4628980881080031E-5</v>
      </c>
      <c r="M252" s="14">
        <f t="shared" si="62"/>
        <v>0.48965262188340358</v>
      </c>
    </row>
    <row r="253" spans="1:13">
      <c r="A253" s="26">
        <f t="shared" si="63"/>
        <v>340</v>
      </c>
      <c r="B253" s="34">
        <f t="shared" si="64"/>
        <v>130</v>
      </c>
      <c r="C253" s="11">
        <f t="shared" si="65"/>
        <v>613.15</v>
      </c>
      <c r="D253" s="14">
        <f t="shared" si="66"/>
        <v>71.277981695945527</v>
      </c>
      <c r="E253" s="15">
        <f t="shared" si="67"/>
        <v>0.64450312580275582</v>
      </c>
      <c r="F253" s="13">
        <f t="shared" si="57"/>
        <v>2738.9234285942584</v>
      </c>
      <c r="G253" s="14">
        <f t="shared" si="58"/>
        <v>5.5588629340932316</v>
      </c>
      <c r="H253" s="15">
        <f t="shared" si="59"/>
        <v>7.1953673665264395</v>
      </c>
      <c r="I253" s="15">
        <f t="shared" si="60"/>
        <v>2.9707381673579532</v>
      </c>
      <c r="J253" s="15">
        <f t="shared" si="68"/>
        <v>1.2533048991388274</v>
      </c>
      <c r="K253" s="15">
        <f t="shared" si="69"/>
        <v>478.10396780932018</v>
      </c>
      <c r="L253" s="35">
        <f t="shared" si="61"/>
        <v>2.2019344837746896E-5</v>
      </c>
      <c r="M253" s="14">
        <f t="shared" si="62"/>
        <v>8.7212515900942492E-2</v>
      </c>
    </row>
    <row r="254" spans="1:13">
      <c r="A254" s="26">
        <f t="shared" si="63"/>
        <v>350</v>
      </c>
      <c r="B254" s="34">
        <f t="shared" si="64"/>
        <v>130</v>
      </c>
      <c r="C254" s="11">
        <f t="shared" si="65"/>
        <v>623.15</v>
      </c>
      <c r="D254" s="14">
        <f t="shared" si="66"/>
        <v>66.139619502803797</v>
      </c>
      <c r="E254" s="15">
        <f t="shared" si="67"/>
        <v>0.68342814952887332</v>
      </c>
      <c r="F254" s="13">
        <f t="shared" si="57"/>
        <v>2803.6090215125378</v>
      </c>
      <c r="G254" s="14">
        <f t="shared" si="58"/>
        <v>5.6635376238568735</v>
      </c>
      <c r="H254" s="15">
        <f t="shared" si="59"/>
        <v>5.8727275722582446</v>
      </c>
      <c r="I254" s="15">
        <f t="shared" si="60"/>
        <v>2.729167218752238</v>
      </c>
      <c r="J254" s="15">
        <f t="shared" si="68"/>
        <v>1.2624563759225051</v>
      </c>
      <c r="K254" s="15">
        <f t="shared" si="69"/>
        <v>498.13725142327758</v>
      </c>
      <c r="L254" s="35">
        <f t="shared" si="61"/>
        <v>2.2442776527357803E-5</v>
      </c>
      <c r="M254" s="14">
        <f t="shared" si="62"/>
        <v>8.2200013956868379E-2</v>
      </c>
    </row>
    <row r="255" spans="1:13">
      <c r="A255" s="26">
        <f t="shared" si="63"/>
        <v>100</v>
      </c>
      <c r="B255" s="34">
        <f t="shared" si="64"/>
        <v>140</v>
      </c>
      <c r="C255" s="11">
        <f t="shared" si="65"/>
        <v>373.15</v>
      </c>
      <c r="D255" s="14">
        <f t="shared" si="66"/>
        <v>964.74662817212084</v>
      </c>
      <c r="E255" s="15">
        <f t="shared" si="67"/>
        <v>8.426265177064618E-2</v>
      </c>
      <c r="F255" s="13">
        <f t="shared" si="57"/>
        <v>429.56574063677709</v>
      </c>
      <c r="G255" s="14">
        <f t="shared" si="58"/>
        <v>1.2963282531189202</v>
      </c>
      <c r="H255" s="15">
        <f t="shared" si="59"/>
        <v>4.1858847675572282</v>
      </c>
      <c r="I255" s="15">
        <f t="shared" si="60"/>
        <v>3.7476212306088761</v>
      </c>
      <c r="J255" s="15">
        <f t="shared" si="68"/>
        <v>-1</v>
      </c>
      <c r="K255" s="15">
        <f t="shared" si="69"/>
        <v>1573.1367046835653</v>
      </c>
      <c r="L255" s="35">
        <f t="shared" si="61"/>
        <v>2.8546046952058357E-4</v>
      </c>
      <c r="M255" s="14">
        <f t="shared" si="62"/>
        <v>0.68667247228034112</v>
      </c>
    </row>
    <row r="256" spans="1:13">
      <c r="A256" s="26">
        <f t="shared" si="63"/>
        <v>110</v>
      </c>
      <c r="B256" s="34">
        <f t="shared" si="64"/>
        <v>140</v>
      </c>
      <c r="C256" s="11">
        <f t="shared" si="65"/>
        <v>383.15</v>
      </c>
      <c r="D256" s="14">
        <f t="shared" si="66"/>
        <v>957.51141672925371</v>
      </c>
      <c r="E256" s="15">
        <f t="shared" si="67"/>
        <v>8.2683537094092457E-2</v>
      </c>
      <c r="F256" s="13">
        <f t="shared" si="57"/>
        <v>471.48535204281342</v>
      </c>
      <c r="G256" s="14">
        <f t="shared" si="58"/>
        <v>1.4071884413157427</v>
      </c>
      <c r="H256" s="15">
        <f t="shared" si="59"/>
        <v>4.1983390082409757</v>
      </c>
      <c r="I256" s="15">
        <f t="shared" si="60"/>
        <v>3.6993430957452023</v>
      </c>
      <c r="J256" s="15">
        <f t="shared" si="68"/>
        <v>-1</v>
      </c>
      <c r="K256" s="15">
        <f t="shared" si="69"/>
        <v>1563.7688252546138</v>
      </c>
      <c r="L256" s="35">
        <f t="shared" si="61"/>
        <v>2.5837006601685155E-4</v>
      </c>
      <c r="M256" s="14">
        <f t="shared" si="62"/>
        <v>0.68954222603675996</v>
      </c>
    </row>
    <row r="257" spans="1:13">
      <c r="A257" s="26">
        <f t="shared" si="63"/>
        <v>120</v>
      </c>
      <c r="B257" s="34">
        <f t="shared" si="64"/>
        <v>140</v>
      </c>
      <c r="C257" s="11">
        <f t="shared" si="65"/>
        <v>393.15</v>
      </c>
      <c r="D257" s="14">
        <f t="shared" si="66"/>
        <v>949.86208856850033</v>
      </c>
      <c r="E257" s="15">
        <f t="shared" si="67"/>
        <v>8.1229354766290077E-2</v>
      </c>
      <c r="F257" s="13">
        <f t="shared" si="57"/>
        <v>513.53876228340232</v>
      </c>
      <c r="G257" s="14">
        <f t="shared" si="58"/>
        <v>1.5155368349149096</v>
      </c>
      <c r="H257" s="15">
        <f t="shared" si="59"/>
        <v>4.2126672765269397</v>
      </c>
      <c r="I257" s="15">
        <f t="shared" si="60"/>
        <v>3.651749371387051</v>
      </c>
      <c r="J257" s="15">
        <f t="shared" si="68"/>
        <v>-1</v>
      </c>
      <c r="K257" s="15">
        <f t="shared" si="69"/>
        <v>1551.7259670620401</v>
      </c>
      <c r="L257" s="35">
        <f t="shared" si="61"/>
        <v>2.3565970499291763E-4</v>
      </c>
      <c r="M257" s="14">
        <f t="shared" si="62"/>
        <v>0.69132891543877473</v>
      </c>
    </row>
    <row r="258" spans="1:13">
      <c r="A258" s="26">
        <f t="shared" si="63"/>
        <v>130</v>
      </c>
      <c r="B258" s="34">
        <f t="shared" si="64"/>
        <v>140</v>
      </c>
      <c r="C258" s="11">
        <f t="shared" si="65"/>
        <v>403.15</v>
      </c>
      <c r="D258" s="14">
        <f t="shared" si="66"/>
        <v>941.80712335769238</v>
      </c>
      <c r="E258" s="15">
        <f t="shared" si="67"/>
        <v>7.9891983321158058E-2</v>
      </c>
      <c r="F258" s="13">
        <f t="shared" si="57"/>
        <v>555.74547629829067</v>
      </c>
      <c r="G258" s="14">
        <f t="shared" si="58"/>
        <v>1.6215486157838885</v>
      </c>
      <c r="H258" s="15">
        <f t="shared" si="59"/>
        <v>4.2290309468232463</v>
      </c>
      <c r="I258" s="15">
        <f t="shared" si="60"/>
        <v>3.6049642120539547</v>
      </c>
      <c r="J258" s="15">
        <f t="shared" si="68"/>
        <v>-1</v>
      </c>
      <c r="K258" s="15">
        <f t="shared" si="69"/>
        <v>1537.220583731545</v>
      </c>
      <c r="L258" s="35">
        <f t="shared" si="61"/>
        <v>2.164319372106388E-4</v>
      </c>
      <c r="M258" s="14">
        <f t="shared" si="62"/>
        <v>0.69214050113582082</v>
      </c>
    </row>
    <row r="259" spans="1:13">
      <c r="A259" s="26">
        <f t="shared" si="63"/>
        <v>140</v>
      </c>
      <c r="B259" s="34">
        <f t="shared" si="64"/>
        <v>140</v>
      </c>
      <c r="C259" s="11">
        <f t="shared" si="65"/>
        <v>413.15</v>
      </c>
      <c r="D259" s="14">
        <f t="shared" si="66"/>
        <v>933.35026114003335</v>
      </c>
      <c r="E259" s="15">
        <f t="shared" si="67"/>
        <v>7.8664616052653458E-2</v>
      </c>
      <c r="F259" s="13">
        <f t="shared" si="57"/>
        <v>598.12687530080984</v>
      </c>
      <c r="G259" s="14">
        <f t="shared" si="58"/>
        <v>1.7253906820276226</v>
      </c>
      <c r="H259" s="15">
        <f t="shared" si="59"/>
        <v>4.2476447871780838</v>
      </c>
      <c r="I259" s="15">
        <f t="shared" si="60"/>
        <v>3.5590872085791601</v>
      </c>
      <c r="J259" s="15">
        <f t="shared" si="68"/>
        <v>-1</v>
      </c>
      <c r="K259" s="15">
        <f t="shared" si="69"/>
        <v>1520.4190781085167</v>
      </c>
      <c r="L259" s="35">
        <f t="shared" si="61"/>
        <v>2.0000438280212444E-4</v>
      </c>
      <c r="M259" s="14">
        <f t="shared" si="62"/>
        <v>0.69205271172630789</v>
      </c>
    </row>
    <row r="260" spans="1:13">
      <c r="A260" s="26">
        <f t="shared" si="63"/>
        <v>150</v>
      </c>
      <c r="B260" s="34">
        <f t="shared" si="64"/>
        <v>140</v>
      </c>
      <c r="C260" s="11">
        <f t="shared" si="65"/>
        <v>423.15</v>
      </c>
      <c r="D260" s="14">
        <f t="shared" si="66"/>
        <v>924.49073533531919</v>
      </c>
      <c r="E260" s="15">
        <f t="shared" si="67"/>
        <v>7.7541630562293601E-2</v>
      </c>
      <c r="F260" s="13">
        <f t="shared" si="57"/>
        <v>640.70677617839908</v>
      </c>
      <c r="G260" s="14">
        <f t="shared" si="58"/>
        <v>1.8272237784903598</v>
      </c>
      <c r="H260" s="15">
        <f t="shared" si="59"/>
        <v>4.268781989389284</v>
      </c>
      <c r="I260" s="15">
        <f t="shared" si="60"/>
        <v>3.5142079108908617</v>
      </c>
      <c r="J260" s="15">
        <f t="shared" si="68"/>
        <v>-1</v>
      </c>
      <c r="K260" s="15">
        <f t="shared" si="69"/>
        <v>1501.4469256482209</v>
      </c>
      <c r="L260" s="35">
        <f t="shared" si="61"/>
        <v>1.858504527636929E-4</v>
      </c>
      <c r="M260" s="14">
        <f t="shared" si="62"/>
        <v>0.69111401099419389</v>
      </c>
    </row>
    <row r="261" spans="1:13">
      <c r="A261" s="26">
        <f t="shared" si="63"/>
        <v>160</v>
      </c>
      <c r="B261" s="34">
        <f t="shared" si="64"/>
        <v>140</v>
      </c>
      <c r="C261" s="11">
        <f t="shared" si="65"/>
        <v>433.15</v>
      </c>
      <c r="D261" s="14">
        <f t="shared" si="66"/>
        <v>915.22334549941695</v>
      </c>
      <c r="E261" s="15">
        <f t="shared" si="67"/>
        <v>7.6518496738379516E-2</v>
      </c>
      <c r="F261" s="13">
        <f t="shared" si="57"/>
        <v>683.51204188935185</v>
      </c>
      <c r="G261" s="14">
        <f t="shared" si="58"/>
        <v>1.9272044975066143</v>
      </c>
      <c r="H261" s="15">
        <f t="shared" si="59"/>
        <v>4.2927795883466793</v>
      </c>
      <c r="I261" s="15">
        <f t="shared" si="60"/>
        <v>3.4704154223028612</v>
      </c>
      <c r="J261" s="15">
        <f t="shared" si="68"/>
        <v>-1</v>
      </c>
      <c r="K261" s="15">
        <f t="shared" si="69"/>
        <v>1480.3935948790713</v>
      </c>
      <c r="L261" s="35">
        <f t="shared" si="61"/>
        <v>1.7355836828217795E-4</v>
      </c>
      <c r="M261" s="14">
        <f t="shared" si="62"/>
        <v>0.68935072703291689</v>
      </c>
    </row>
    <row r="262" spans="1:13">
      <c r="A262" s="26">
        <f t="shared" si="63"/>
        <v>170</v>
      </c>
      <c r="B262" s="34">
        <f t="shared" si="64"/>
        <v>140</v>
      </c>
      <c r="C262" s="11">
        <f t="shared" si="65"/>
        <v>443.15</v>
      </c>
      <c r="D262" s="14">
        <f t="shared" si="66"/>
        <v>905.5383775984958</v>
      </c>
      <c r="E262" s="15">
        <f t="shared" si="67"/>
        <v>7.5591719285377432E-2</v>
      </c>
      <c r="F262" s="13">
        <f t="shared" si="57"/>
        <v>726.57325396452143</v>
      </c>
      <c r="G262" s="14">
        <f t="shared" si="58"/>
        <v>2.0254871929708127</v>
      </c>
      <c r="H262" s="15">
        <f t="shared" si="59"/>
        <v>4.3200456907234157</v>
      </c>
      <c r="I262" s="15">
        <f t="shared" si="60"/>
        <v>3.427804300174047</v>
      </c>
      <c r="J262" s="15">
        <f t="shared" si="68"/>
        <v>-1</v>
      </c>
      <c r="K262" s="15">
        <f t="shared" si="69"/>
        <v>1457.3173279292084</v>
      </c>
      <c r="L262" s="35">
        <f t="shared" si="61"/>
        <v>1.6280221818143901E-4</v>
      </c>
      <c r="M262" s="14">
        <f t="shared" si="62"/>
        <v>0.68677152612334469</v>
      </c>
    </row>
    <row r="263" spans="1:13">
      <c r="A263" s="26">
        <f t="shared" si="63"/>
        <v>180</v>
      </c>
      <c r="B263" s="34">
        <f t="shared" si="64"/>
        <v>140</v>
      </c>
      <c r="C263" s="11">
        <f t="shared" si="65"/>
        <v>453.15</v>
      </c>
      <c r="D263" s="14">
        <f t="shared" si="66"/>
        <v>895.42136663877193</v>
      </c>
      <c r="E263" s="15">
        <f t="shared" si="67"/>
        <v>7.475881349489695E-2</v>
      </c>
      <c r="F263" s="13">
        <f t="shared" si="57"/>
        <v>769.92547203906497</v>
      </c>
      <c r="G263" s="14">
        <f t="shared" si="58"/>
        <v>2.1222258749084069</v>
      </c>
      <c r="H263" s="15">
        <f t="shared" si="59"/>
        <v>4.3510698884765322</v>
      </c>
      <c r="I263" s="15">
        <f t="shared" si="60"/>
        <v>3.3864776476037646</v>
      </c>
      <c r="J263" s="15">
        <f t="shared" si="68"/>
        <v>-1</v>
      </c>
      <c r="K263" s="15">
        <f t="shared" si="69"/>
        <v>1432.2498212417836</v>
      </c>
      <c r="L263" s="35">
        <f t="shared" si="61"/>
        <v>1.5332112901540851E-4</v>
      </c>
      <c r="M263" s="14">
        <f t="shared" si="62"/>
        <v>0.68337081197956018</v>
      </c>
    </row>
    <row r="264" spans="1:13">
      <c r="A264" s="26">
        <f t="shared" si="63"/>
        <v>190</v>
      </c>
      <c r="B264" s="34">
        <f t="shared" si="64"/>
        <v>140</v>
      </c>
      <c r="C264" s="11">
        <f t="shared" si="65"/>
        <v>463.15</v>
      </c>
      <c r="D264" s="14">
        <f t="shared" si="66"/>
        <v>884.85268382217646</v>
      </c>
      <c r="E264" s="15">
        <f t="shared" si="67"/>
        <v>7.401831543144359E-2</v>
      </c>
      <c r="F264" s="13">
        <f t="shared" si="57"/>
        <v>813.60911974998567</v>
      </c>
      <c r="G264" s="14">
        <f t="shared" si="58"/>
        <v>2.2175761729206482</v>
      </c>
      <c r="H264" s="15">
        <f t="shared" si="59"/>
        <v>4.3864384040920799</v>
      </c>
      <c r="I264" s="15">
        <f t="shared" si="60"/>
        <v>3.3465480014165272</v>
      </c>
      <c r="J264" s="15">
        <f t="shared" si="68"/>
        <v>-1</v>
      </c>
      <c r="K264" s="15">
        <f t="shared" si="69"/>
        <v>1405.2008101406489</v>
      </c>
      <c r="L264" s="35">
        <f t="shared" si="61"/>
        <v>1.4490401838296166E-4</v>
      </c>
      <c r="M264" s="14">
        <f t="shared" si="62"/>
        <v>0.67913088927670306</v>
      </c>
    </row>
    <row r="265" spans="1:13">
      <c r="A265" s="26">
        <f t="shared" si="63"/>
        <v>200</v>
      </c>
      <c r="B265" s="34">
        <f t="shared" si="64"/>
        <v>140</v>
      </c>
      <c r="C265" s="11">
        <f t="shared" si="65"/>
        <v>473.15</v>
      </c>
      <c r="D265" s="14">
        <f t="shared" si="66"/>
        <v>873.80691553339523</v>
      </c>
      <c r="E265" s="15">
        <f t="shared" si="67"/>
        <v>7.3369830502090505E-2</v>
      </c>
      <c r="F265" s="13">
        <f t="shared" si="57"/>
        <v>857.67105380267753</v>
      </c>
      <c r="G265" s="14">
        <f t="shared" si="58"/>
        <v>2.3116974809624287</v>
      </c>
      <c r="H265" s="15">
        <f t="shared" si="59"/>
        <v>4.4268559702614994</v>
      </c>
      <c r="I265" s="15">
        <f t="shared" si="60"/>
        <v>3.3081364506812871</v>
      </c>
      <c r="J265" s="15">
        <f t="shared" si="68"/>
        <v>-1</v>
      </c>
      <c r="K265" s="15">
        <f t="shared" si="69"/>
        <v>1376.1624460350024</v>
      </c>
      <c r="L265" s="35">
        <f t="shared" si="61"/>
        <v>1.3737826072576532E-4</v>
      </c>
      <c r="M265" s="14">
        <f t="shared" si="62"/>
        <v>0.67402289264143855</v>
      </c>
    </row>
    <row r="266" spans="1:13">
      <c r="A266" s="26">
        <f t="shared" si="63"/>
        <v>210</v>
      </c>
      <c r="B266" s="34">
        <f t="shared" si="64"/>
        <v>140</v>
      </c>
      <c r="C266" s="11">
        <f t="shared" si="65"/>
        <v>483.15</v>
      </c>
      <c r="D266" s="14">
        <f t="shared" si="66"/>
        <v>862.25198112766464</v>
      </c>
      <c r="E266" s="15">
        <f t="shared" si="67"/>
        <v>7.2814128008049636E-2</v>
      </c>
      <c r="F266" s="13">
        <f t="shared" si="57"/>
        <v>902.16589701005091</v>
      </c>
      <c r="G266" s="14">
        <f t="shared" si="58"/>
        <v>2.4047554296192266</v>
      </c>
      <c r="H266" s="15">
        <f t="shared" si="59"/>
        <v>4.4731773317133285</v>
      </c>
      <c r="I266" s="15">
        <f t="shared" si="60"/>
        <v>3.271370429164091</v>
      </c>
      <c r="J266" s="15">
        <f t="shared" si="68"/>
        <v>-1</v>
      </c>
      <c r="K266" s="15">
        <f t="shared" si="69"/>
        <v>1345.113070749627</v>
      </c>
      <c r="L266" s="35">
        <f t="shared" si="61"/>
        <v>1.3060113616448276E-4</v>
      </c>
      <c r="M266" s="14">
        <f t="shared" si="62"/>
        <v>0.66800658747638386</v>
      </c>
    </row>
    <row r="267" spans="1:13">
      <c r="A267" s="26">
        <f t="shared" si="63"/>
        <v>220</v>
      </c>
      <c r="B267" s="34">
        <f t="shared" si="64"/>
        <v>140</v>
      </c>
      <c r="C267" s="11">
        <f t="shared" si="65"/>
        <v>493.15</v>
      </c>
      <c r="D267" s="14">
        <f t="shared" si="66"/>
        <v>850.14790507602595</v>
      </c>
      <c r="E267" s="15">
        <f t="shared" si="67"/>
        <v>7.2353294568994891E-2</v>
      </c>
      <c r="F267" s="13">
        <f t="shared" si="57"/>
        <v>947.15775227634208</v>
      </c>
      <c r="G267" s="14">
        <f t="shared" si="58"/>
        <v>2.49692488513793</v>
      </c>
      <c r="H267" s="15">
        <f t="shared" si="59"/>
        <v>4.5264528762249627</v>
      </c>
      <c r="I267" s="15">
        <f t="shared" si="60"/>
        <v>3.2363809245439779</v>
      </c>
      <c r="J267" s="15">
        <f t="shared" si="68"/>
        <v>-1</v>
      </c>
      <c r="K267" s="15">
        <f t="shared" si="69"/>
        <v>1312.0194392236126</v>
      </c>
      <c r="L267" s="35">
        <f t="shared" si="61"/>
        <v>1.2445328082128602E-4</v>
      </c>
      <c r="M267" s="14">
        <f t="shared" si="62"/>
        <v>0.66102923397223878</v>
      </c>
    </row>
    <row r="268" spans="1:13">
      <c r="A268" s="26">
        <f t="shared" si="63"/>
        <v>230</v>
      </c>
      <c r="B268" s="34">
        <f t="shared" si="64"/>
        <v>140</v>
      </c>
      <c r="C268" s="11">
        <f t="shared" si="65"/>
        <v>503.15</v>
      </c>
      <c r="D268" s="14">
        <f t="shared" si="66"/>
        <v>837.44510616436492</v>
      </c>
      <c r="E268" s="15">
        <f t="shared" si="67"/>
        <v>7.1990967751579663E-2</v>
      </c>
      <c r="F268" s="13">
        <f t="shared" si="57"/>
        <v>992.72247291180577</v>
      </c>
      <c r="G268" s="14">
        <f t="shared" si="58"/>
        <v>2.5883937636487637</v>
      </c>
      <c r="H268" s="15">
        <f t="shared" si="59"/>
        <v>4.5879958725881735</v>
      </c>
      <c r="I268" s="15">
        <f t="shared" si="60"/>
        <v>3.2033005241533345</v>
      </c>
      <c r="J268" s="15">
        <f t="shared" si="68"/>
        <v>-1</v>
      </c>
      <c r="K268" s="15">
        <f t="shared" si="69"/>
        <v>1276.835597868898</v>
      </c>
      <c r="L268" s="35">
        <f t="shared" si="61"/>
        <v>1.1883358278761806E-4</v>
      </c>
      <c r="M268" s="14">
        <f t="shared" si="62"/>
        <v>0.65302380996631515</v>
      </c>
    </row>
    <row r="269" spans="1:13">
      <c r="A269" s="26">
        <f t="shared" si="63"/>
        <v>240</v>
      </c>
      <c r="B269" s="34">
        <f t="shared" si="64"/>
        <v>140</v>
      </c>
      <c r="C269" s="11">
        <f t="shared" si="65"/>
        <v>513.15</v>
      </c>
      <c r="D269" s="14">
        <f t="shared" si="66"/>
        <v>824.08197314089932</v>
      </c>
      <c r="E269" s="15">
        <f t="shared" si="67"/>
        <v>7.173268556017684E-2</v>
      </c>
      <c r="F269" s="13">
        <f t="shared" si="57"/>
        <v>1038.950764212788</v>
      </c>
      <c r="G269" s="14">
        <f t="shared" si="58"/>
        <v>2.6793681050393325</v>
      </c>
      <c r="H269" s="15">
        <f t="shared" si="59"/>
        <v>4.6594843204100895</v>
      </c>
      <c r="I269" s="15">
        <f t="shared" si="60"/>
        <v>3.1722646422431322</v>
      </c>
      <c r="J269" s="15">
        <f t="shared" si="68"/>
        <v>-1</v>
      </c>
      <c r="K269" s="15">
        <f t="shared" si="69"/>
        <v>1239.4957441302145</v>
      </c>
      <c r="L269" s="35">
        <f t="shared" si="61"/>
        <v>1.1365511246594541E-4</v>
      </c>
      <c r="M269" s="14">
        <f t="shared" si="62"/>
        <v>0.64390705741829757</v>
      </c>
    </row>
    <row r="270" spans="1:13">
      <c r="A270" s="26">
        <f t="shared" si="63"/>
        <v>250</v>
      </c>
      <c r="B270" s="34">
        <f t="shared" si="64"/>
        <v>140</v>
      </c>
      <c r="C270" s="11">
        <f t="shared" si="65"/>
        <v>523.15</v>
      </c>
      <c r="D270" s="14">
        <f t="shared" si="66"/>
        <v>809.98132930754775</v>
      </c>
      <c r="E270" s="15">
        <f t="shared" si="67"/>
        <v>7.158641270823235E-2</v>
      </c>
      <c r="F270" s="13">
        <f t="shared" si="57"/>
        <v>1085.9525676910403</v>
      </c>
      <c r="G270" s="14">
        <f t="shared" si="58"/>
        <v>2.7700791311677646</v>
      </c>
      <c r="H270" s="15">
        <f t="shared" si="59"/>
        <v>4.7431207758533196</v>
      </c>
      <c r="I270" s="15">
        <f t="shared" si="60"/>
        <v>3.1434188140473616</v>
      </c>
      <c r="J270" s="15">
        <f t="shared" si="68"/>
        <v>-1</v>
      </c>
      <c r="K270" s="15">
        <f t="shared" si="69"/>
        <v>1199.8982306150538</v>
      </c>
      <c r="L270" s="35">
        <f t="shared" si="61"/>
        <v>1.088417624743888E-4</v>
      </c>
      <c r="M270" s="14">
        <f t="shared" si="62"/>
        <v>0.63357809769191953</v>
      </c>
    </row>
    <row r="271" spans="1:13">
      <c r="A271" s="26">
        <f t="shared" si="63"/>
        <v>260</v>
      </c>
      <c r="B271" s="34">
        <f t="shared" si="64"/>
        <v>140</v>
      </c>
      <c r="C271" s="11">
        <f t="shared" si="65"/>
        <v>533.15</v>
      </c>
      <c r="D271" s="14">
        <f t="shared" si="66"/>
        <v>795.04509265463753</v>
      </c>
      <c r="E271" s="15">
        <f t="shared" si="67"/>
        <v>7.1563350076326443E-2</v>
      </c>
      <c r="F271" s="13">
        <f t="shared" si="57"/>
        <v>1133.8635000618096</v>
      </c>
      <c r="G271" s="14">
        <f t="shared" si="58"/>
        <v>2.8607935238313917</v>
      </c>
      <c r="H271" s="15">
        <f t="shared" si="59"/>
        <v>4.8418929714869252</v>
      </c>
      <c r="I271" s="15">
        <f t="shared" si="60"/>
        <v>3.1169341790570906</v>
      </c>
      <c r="J271" s="15">
        <f t="shared" si="68"/>
        <v>-1</v>
      </c>
      <c r="K271" s="15">
        <f t="shared" si="69"/>
        <v>1157.8794424229611</v>
      </c>
      <c r="L271" s="35">
        <f t="shared" si="61"/>
        <v>1.0432531239112585E-4</v>
      </c>
      <c r="M271" s="14">
        <f t="shared" si="62"/>
        <v>0.62191877425984388</v>
      </c>
    </row>
    <row r="272" spans="1:13">
      <c r="A272" s="26">
        <f t="shared" si="63"/>
        <v>270</v>
      </c>
      <c r="B272" s="34">
        <f t="shared" si="64"/>
        <v>140</v>
      </c>
      <c r="C272" s="11">
        <f t="shared" si="65"/>
        <v>543.15</v>
      </c>
      <c r="D272" s="14">
        <f t="shared" si="66"/>
        <v>779.14591686538893</v>
      </c>
      <c r="E272" s="15">
        <f t="shared" si="67"/>
        <v>7.1679217357487376E-2</v>
      </c>
      <c r="F272" s="13">
        <f t="shared" si="57"/>
        <v>1182.8547124754423</v>
      </c>
      <c r="G272" s="14">
        <f t="shared" si="58"/>
        <v>2.9518290989352378</v>
      </c>
      <c r="H272" s="15">
        <f t="shared" si="59"/>
        <v>4.9600151625099356</v>
      </c>
      <c r="I272" s="15">
        <f t="shared" si="60"/>
        <v>3.0930326580655216</v>
      </c>
      <c r="J272" s="15">
        <f t="shared" si="68"/>
        <v>-1</v>
      </c>
      <c r="K272" s="15">
        <f t="shared" si="69"/>
        <v>1113.1788210322486</v>
      </c>
      <c r="L272" s="35">
        <f t="shared" si="61"/>
        <v>1.0004263011165251E-4</v>
      </c>
      <c r="M272" s="14">
        <f t="shared" si="62"/>
        <v>0.60879735647204569</v>
      </c>
    </row>
    <row r="273" spans="1:13">
      <c r="A273" s="26">
        <f t="shared" si="63"/>
        <v>280</v>
      </c>
      <c r="B273" s="34">
        <f t="shared" si="64"/>
        <v>140</v>
      </c>
      <c r="C273" s="11">
        <f t="shared" si="65"/>
        <v>553.15</v>
      </c>
      <c r="D273" s="14">
        <f t="shared" si="66"/>
        <v>762.11364427538319</v>
      </c>
      <c r="E273" s="15">
        <f t="shared" si="67"/>
        <v>7.1956359686441568E-2</v>
      </c>
      <c r="F273" s="13">
        <f t="shared" si="57"/>
        <v>1233.1486645507998</v>
      </c>
      <c r="G273" s="14">
        <f t="shared" si="58"/>
        <v>3.0435798333852024</v>
      </c>
      <c r="H273" s="15">
        <f t="shared" si="59"/>
        <v>5.1037054737142054</v>
      </c>
      <c r="I273" s="15">
        <f t="shared" si="60"/>
        <v>3.0720336191387498</v>
      </c>
      <c r="J273" s="15">
        <f t="shared" si="68"/>
        <v>-1</v>
      </c>
      <c r="K273" s="15">
        <f t="shared" si="69"/>
        <v>1065.3931165772315</v>
      </c>
      <c r="L273" s="35">
        <f t="shared" si="61"/>
        <v>9.5932660985519698E-5</v>
      </c>
      <c r="M273" s="14">
        <f t="shared" si="62"/>
        <v>0.59407745640300691</v>
      </c>
    </row>
    <row r="274" spans="1:13">
      <c r="A274" s="26">
        <f t="shared" si="63"/>
        <v>290</v>
      </c>
      <c r="B274" s="34">
        <f t="shared" si="64"/>
        <v>140</v>
      </c>
      <c r="C274" s="11">
        <f t="shared" si="65"/>
        <v>563.15</v>
      </c>
      <c r="D274" s="14">
        <f t="shared" si="66"/>
        <v>743.71244696358917</v>
      </c>
      <c r="E274" s="15">
        <f t="shared" si="67"/>
        <v>7.2427367325673633E-2</v>
      </c>
      <c r="F274" s="13">
        <f t="shared" si="57"/>
        <v>1285.045595419153</v>
      </c>
      <c r="G274" s="14">
        <f t="shared" si="58"/>
        <v>3.1365577996732763</v>
      </c>
      <c r="H274" s="15">
        <f t="shared" si="59"/>
        <v>5.2826265770409426</v>
      </c>
      <c r="I274" s="15">
        <f t="shared" si="60"/>
        <v>3.0544735352551884</v>
      </c>
      <c r="J274" s="15">
        <f t="shared" si="68"/>
        <v>-1</v>
      </c>
      <c r="K274" s="15">
        <f t="shared" si="69"/>
        <v>1013.8996276549616</v>
      </c>
      <c r="L274" s="35">
        <f t="shared" si="61"/>
        <v>9.193267595854169E-5</v>
      </c>
      <c r="M274" s="14">
        <f t="shared" si="62"/>
        <v>0.5776330606302611</v>
      </c>
    </row>
    <row r="275" spans="1:13">
      <c r="A275" s="26">
        <f t="shared" si="63"/>
        <v>300</v>
      </c>
      <c r="B275" s="34">
        <f t="shared" si="64"/>
        <v>140</v>
      </c>
      <c r="C275" s="11">
        <f t="shared" si="65"/>
        <v>573.15</v>
      </c>
      <c r="D275" s="14">
        <f t="shared" si="66"/>
        <v>723.60001942435861</v>
      </c>
      <c r="E275" s="15">
        <f t="shared" si="67"/>
        <v>7.314168667587656E-2</v>
      </c>
      <c r="F275" s="13">
        <f t="shared" si="57"/>
        <v>1338.9705912921802</v>
      </c>
      <c r="G275" s="14">
        <f t="shared" si="58"/>
        <v>3.231467629258495</v>
      </c>
      <c r="H275" s="15">
        <f t="shared" si="59"/>
        <v>5.5127551858066237</v>
      </c>
      <c r="I275" s="15">
        <f t="shared" si="60"/>
        <v>3.0413638200425783</v>
      </c>
      <c r="J275" s="15">
        <f t="shared" si="68"/>
        <v>-1</v>
      </c>
      <c r="K275" s="15">
        <f t="shared" si="69"/>
        <v>957.731432363831</v>
      </c>
      <c r="L275" s="35">
        <f t="shared" si="61"/>
        <v>8.7972773786022796E-5</v>
      </c>
      <c r="M275" s="14">
        <f t="shared" si="62"/>
        <v>0.55936643761133942</v>
      </c>
    </row>
    <row r="276" spans="1:13">
      <c r="A276" s="26">
        <f t="shared" si="63"/>
        <v>310</v>
      </c>
      <c r="B276" s="34">
        <f t="shared" si="64"/>
        <v>140</v>
      </c>
      <c r="C276" s="11">
        <f t="shared" si="65"/>
        <v>583.15</v>
      </c>
      <c r="D276" s="14">
        <f t="shared" si="66"/>
        <v>701.24970060097735</v>
      </c>
      <c r="E276" s="15">
        <f t="shared" si="67"/>
        <v>7.4178640383506023E-2</v>
      </c>
      <c r="F276" s="13">
        <f t="shared" si="57"/>
        <v>1395.5636738582921</v>
      </c>
      <c r="G276" s="14">
        <f t="shared" si="58"/>
        <v>3.3293488721693452</v>
      </c>
      <c r="H276" s="15">
        <f t="shared" si="59"/>
        <v>5.8226082140032229</v>
      </c>
      <c r="I276" s="15">
        <f t="shared" si="60"/>
        <v>3.0342620227663528</v>
      </c>
      <c r="J276" s="15">
        <f t="shared" si="68"/>
        <v>-1</v>
      </c>
      <c r="K276" s="15">
        <f t="shared" si="69"/>
        <v>895.59363304208625</v>
      </c>
      <c r="L276" s="35">
        <f t="shared" si="61"/>
        <v>8.3966551155106555E-5</v>
      </c>
      <c r="M276" s="14">
        <f t="shared" si="62"/>
        <v>0.5392173119365925</v>
      </c>
    </row>
    <row r="277" spans="1:13">
      <c r="A277" s="26">
        <f t="shared" si="63"/>
        <v>320</v>
      </c>
      <c r="B277" s="34">
        <f t="shared" si="64"/>
        <v>140</v>
      </c>
      <c r="C277" s="11">
        <f t="shared" si="65"/>
        <v>593.15</v>
      </c>
      <c r="D277" s="14">
        <f t="shared" si="66"/>
        <v>675.7925094185274</v>
      </c>
      <c r="E277" s="15">
        <f t="shared" si="67"/>
        <v>7.5675261313156536E-2</v>
      </c>
      <c r="F277" s="13">
        <f t="shared" si="57"/>
        <v>1455.8686372174493</v>
      </c>
      <c r="G277" s="14">
        <f t="shared" si="58"/>
        <v>3.4318739589175795</v>
      </c>
      <c r="H277" s="15">
        <f t="shared" si="59"/>
        <v>6.2683009164419348</v>
      </c>
      <c r="I277" s="15">
        <f t="shared" si="60"/>
        <v>3.0338917484381853</v>
      </c>
      <c r="J277" s="15">
        <f t="shared" si="68"/>
        <v>-1</v>
      </c>
      <c r="K277" s="15">
        <f t="shared" si="69"/>
        <v>826.49906544985129</v>
      </c>
      <c r="L277" s="35">
        <f t="shared" si="61"/>
        <v>7.9793632301754764E-5</v>
      </c>
      <c r="M277" s="14">
        <f t="shared" si="62"/>
        <v>0.51715156666569395</v>
      </c>
    </row>
    <row r="278" spans="1:13">
      <c r="A278" s="26">
        <f t="shared" si="63"/>
        <v>330</v>
      </c>
      <c r="B278" s="34">
        <f t="shared" si="64"/>
        <v>140</v>
      </c>
      <c r="C278" s="11">
        <f t="shared" si="65"/>
        <v>603.15</v>
      </c>
      <c r="D278" s="14">
        <f t="shared" si="66"/>
        <v>645.63734862928163</v>
      </c>
      <c r="E278" s="15">
        <f t="shared" si="67"/>
        <v>7.7896484849360126E-2</v>
      </c>
      <c r="F278" s="13">
        <f t="shared" si="57"/>
        <v>1521.7993499177037</v>
      </c>
      <c r="G278" s="14">
        <f t="shared" si="58"/>
        <v>3.5420844069048893</v>
      </c>
      <c r="H278" s="15">
        <f t="shared" si="59"/>
        <v>6.9830056315263818</v>
      </c>
      <c r="I278" s="15">
        <f t="shared" si="60"/>
        <v>3.0417618127078971</v>
      </c>
      <c r="J278" s="15">
        <f t="shared" si="68"/>
        <v>-1</v>
      </c>
      <c r="K278" s="15">
        <f t="shared" si="69"/>
        <v>748.3774379788166</v>
      </c>
      <c r="L278" s="35">
        <f t="shared" si="61"/>
        <v>7.5258760927903007E-5</v>
      </c>
      <c r="M278" s="14">
        <f t="shared" si="62"/>
        <v>0.49307646340777561</v>
      </c>
    </row>
    <row r="279" spans="1:13">
      <c r="A279" s="26">
        <f t="shared" si="63"/>
        <v>340</v>
      </c>
      <c r="B279" s="34">
        <f t="shared" si="64"/>
        <v>140</v>
      </c>
      <c r="C279" s="11">
        <f t="shared" si="65"/>
        <v>613.15</v>
      </c>
      <c r="D279" s="14">
        <f t="shared" si="66"/>
        <v>83.341215111100283</v>
      </c>
      <c r="E279" s="15">
        <f t="shared" si="67"/>
        <v>0.59361556094601609</v>
      </c>
      <c r="F279" s="13">
        <f t="shared" ref="F279:F306" si="70">enthalpyw($C279,$B279)</f>
        <v>2672.3825739288518</v>
      </c>
      <c r="G279" s="14">
        <f t="shared" ref="G279:G306" si="71">entropyw($C279,$B279)</f>
        <v>5.4291263529938263</v>
      </c>
      <c r="H279" s="15">
        <f t="shared" ref="H279:H306" si="72">cpw($C279,$B279)</f>
        <v>9.4878275662250253</v>
      </c>
      <c r="I279" s="15">
        <f t="shared" ref="I279:I306" si="73">cvw($C279,$B279)</f>
        <v>3.2636983843494893</v>
      </c>
      <c r="J279" s="15">
        <f t="shared" si="68"/>
        <v>1.2441545881795195</v>
      </c>
      <c r="K279" s="15">
        <f t="shared" si="69"/>
        <v>457.16321318040951</v>
      </c>
      <c r="L279" s="35">
        <f t="shared" ref="L279:L306" si="74">viscw($C279,$B279)</f>
        <v>2.2294674490223334E-5</v>
      </c>
      <c r="M279" s="14">
        <f t="shared" ref="M279:M306" si="75">thconw($C279,$B279)</f>
        <v>9.9192733655876164E-2</v>
      </c>
    </row>
    <row r="280" spans="1:13">
      <c r="A280" s="26">
        <f t="shared" si="63"/>
        <v>350</v>
      </c>
      <c r="B280" s="34">
        <f t="shared" si="64"/>
        <v>140</v>
      </c>
      <c r="C280" s="11">
        <f t="shared" si="65"/>
        <v>623.15</v>
      </c>
      <c r="D280" s="14">
        <f t="shared" si="66"/>
        <v>75.576429974972797</v>
      </c>
      <c r="E280" s="15">
        <f t="shared" si="67"/>
        <v>0.64409935636566318</v>
      </c>
      <c r="F280" s="13">
        <f t="shared" si="70"/>
        <v>2752.9190207922925</v>
      </c>
      <c r="G280" s="14">
        <f t="shared" si="71"/>
        <v>5.5594681459482675</v>
      </c>
      <c r="H280" s="15">
        <f t="shared" si="72"/>
        <v>7.0059013810729178</v>
      </c>
      <c r="I280" s="15">
        <f t="shared" si="73"/>
        <v>2.9123291326777734</v>
      </c>
      <c r="J280" s="15">
        <f t="shared" si="68"/>
        <v>1.258834712909042</v>
      </c>
      <c r="K280" s="15">
        <f t="shared" si="69"/>
        <v>482.89775502312767</v>
      </c>
      <c r="L280" s="35">
        <f t="shared" si="74"/>
        <v>2.2640414710905638E-5</v>
      </c>
      <c r="M280" s="14">
        <f t="shared" si="75"/>
        <v>8.9876122526089577E-2</v>
      </c>
    </row>
    <row r="281" spans="1:13">
      <c r="A281" s="26">
        <f t="shared" si="63"/>
        <v>100</v>
      </c>
      <c r="B281" s="34">
        <f t="shared" si="64"/>
        <v>150</v>
      </c>
      <c r="C281" s="11">
        <f t="shared" si="65"/>
        <v>373.15</v>
      </c>
      <c r="D281" s="14">
        <f t="shared" si="66"/>
        <v>965.19736410518283</v>
      </c>
      <c r="E281" s="15">
        <f t="shared" si="67"/>
        <v>9.0239252242693566E-2</v>
      </c>
      <c r="F281" s="13">
        <f t="shared" si="70"/>
        <v>430.32079609591517</v>
      </c>
      <c r="G281" s="14">
        <f t="shared" si="71"/>
        <v>1.2955745509732695</v>
      </c>
      <c r="H281" s="15">
        <f t="shared" si="72"/>
        <v>4.1837678599078929</v>
      </c>
      <c r="I281" s="15">
        <f t="shared" si="73"/>
        <v>3.7461990703861083</v>
      </c>
      <c r="J281" s="15">
        <f t="shared" si="68"/>
        <v>-1</v>
      </c>
      <c r="K281" s="15">
        <f t="shared" si="69"/>
        <v>1575.1259786744367</v>
      </c>
      <c r="L281" s="35">
        <f t="shared" si="74"/>
        <v>2.8572774719823237E-4</v>
      </c>
      <c r="M281" s="14">
        <f t="shared" si="75"/>
        <v>0.68721569070845701</v>
      </c>
    </row>
    <row r="282" spans="1:13">
      <c r="A282" s="26">
        <f t="shared" si="63"/>
        <v>110</v>
      </c>
      <c r="B282" s="34">
        <f t="shared" si="64"/>
        <v>150</v>
      </c>
      <c r="C282" s="11">
        <f t="shared" si="65"/>
        <v>383.15</v>
      </c>
      <c r="D282" s="14">
        <f t="shared" si="66"/>
        <v>957.97485501280869</v>
      </c>
      <c r="E282" s="15">
        <f t="shared" si="67"/>
        <v>8.854664719710624E-2</v>
      </c>
      <c r="F282" s="13">
        <f t="shared" si="70"/>
        <v>472.21881772620168</v>
      </c>
      <c r="G282" s="14">
        <f t="shared" si="71"/>
        <v>1.406377647868855</v>
      </c>
      <c r="H282" s="15">
        <f t="shared" si="72"/>
        <v>4.196133191951664</v>
      </c>
      <c r="I282" s="15">
        <f t="shared" si="73"/>
        <v>3.6980576200504025</v>
      </c>
      <c r="J282" s="15">
        <f t="shared" si="68"/>
        <v>-1</v>
      </c>
      <c r="K282" s="15">
        <f t="shared" si="69"/>
        <v>1565.8476643441441</v>
      </c>
      <c r="L282" s="35">
        <f t="shared" si="74"/>
        <v>2.5863418766421619E-4</v>
      </c>
      <c r="M282" s="14">
        <f t="shared" si="75"/>
        <v>0.69010647106989687</v>
      </c>
    </row>
    <row r="283" spans="1:13">
      <c r="A283" s="26">
        <f t="shared" si="63"/>
        <v>120</v>
      </c>
      <c r="B283" s="34">
        <f t="shared" si="64"/>
        <v>150</v>
      </c>
      <c r="C283" s="11">
        <f t="shared" si="65"/>
        <v>393.15</v>
      </c>
      <c r="D283" s="14">
        <f t="shared" si="66"/>
        <v>950.34046132796732</v>
      </c>
      <c r="E283" s="15">
        <f t="shared" si="67"/>
        <v>8.6987642524408326E-2</v>
      </c>
      <c r="F283" s="13">
        <f t="shared" si="70"/>
        <v>514.24960342912277</v>
      </c>
      <c r="G283" s="14">
        <f t="shared" si="71"/>
        <v>1.5146677566564299</v>
      </c>
      <c r="H283" s="15">
        <f t="shared" si="72"/>
        <v>4.2103431181216964</v>
      </c>
      <c r="I283" s="15">
        <f t="shared" si="73"/>
        <v>3.6505845179142331</v>
      </c>
      <c r="J283" s="15">
        <f t="shared" si="68"/>
        <v>-1</v>
      </c>
      <c r="K283" s="15">
        <f t="shared" si="69"/>
        <v>1553.9027022017954</v>
      </c>
      <c r="L283" s="35">
        <f t="shared" si="74"/>
        <v>2.3591976206126166E-4</v>
      </c>
      <c r="M283" s="14">
        <f t="shared" si="75"/>
        <v>0.69191586796740445</v>
      </c>
    </row>
    <row r="284" spans="1:13">
      <c r="A284" s="26">
        <f t="shared" si="63"/>
        <v>130</v>
      </c>
      <c r="B284" s="34">
        <f t="shared" si="64"/>
        <v>150</v>
      </c>
      <c r="C284" s="11">
        <f t="shared" si="65"/>
        <v>403.15</v>
      </c>
      <c r="D284" s="14">
        <f t="shared" si="66"/>
        <v>942.30275506354133</v>
      </c>
      <c r="E284" s="15">
        <f t="shared" si="67"/>
        <v>8.5553530494521884E-2</v>
      </c>
      <c r="F284" s="13">
        <f t="shared" si="70"/>
        <v>556.43235298619675</v>
      </c>
      <c r="G284" s="14">
        <f t="shared" si="71"/>
        <v>1.6206193527282298</v>
      </c>
      <c r="H284" s="15">
        <f t="shared" si="72"/>
        <v>4.2265566592220205</v>
      </c>
      <c r="I284" s="15">
        <f t="shared" si="73"/>
        <v>3.603905221090582</v>
      </c>
      <c r="J284" s="15">
        <f t="shared" si="68"/>
        <v>-1</v>
      </c>
      <c r="K284" s="15">
        <f t="shared" si="69"/>
        <v>1539.5043287686437</v>
      </c>
      <c r="L284" s="35">
        <f t="shared" si="74"/>
        <v>2.1668767405241606E-4</v>
      </c>
      <c r="M284" s="14">
        <f t="shared" si="75"/>
        <v>0.6927518325290013</v>
      </c>
    </row>
    <row r="285" spans="1:13">
      <c r="A285" s="26">
        <f t="shared" si="63"/>
        <v>140</v>
      </c>
      <c r="B285" s="34">
        <f t="shared" si="64"/>
        <v>150</v>
      </c>
      <c r="C285" s="11">
        <f t="shared" si="65"/>
        <v>413.15</v>
      </c>
      <c r="D285" s="14">
        <f t="shared" si="66"/>
        <v>933.86563231279763</v>
      </c>
      <c r="E285" s="15">
        <f t="shared" si="67"/>
        <v>8.4237003767787727E-2</v>
      </c>
      <c r="F285" s="13">
        <f t="shared" si="70"/>
        <v>598.7881131097738</v>
      </c>
      <c r="G285" s="14">
        <f t="shared" si="71"/>
        <v>1.7243986078065061</v>
      </c>
      <c r="H285" s="15">
        <f t="shared" si="72"/>
        <v>4.2449850507699383</v>
      </c>
      <c r="I285" s="15">
        <f t="shared" si="73"/>
        <v>3.5581205183562439</v>
      </c>
      <c r="J285" s="15">
        <f t="shared" si="68"/>
        <v>-1</v>
      </c>
      <c r="K285" s="15">
        <f t="shared" si="69"/>
        <v>1522.8199904195149</v>
      </c>
      <c r="L285" s="35">
        <f t="shared" si="74"/>
        <v>2.0025595066650506E-4</v>
      </c>
      <c r="M285" s="14">
        <f t="shared" si="75"/>
        <v>0.69269011176373685</v>
      </c>
    </row>
    <row r="286" spans="1:13">
      <c r="A286" s="26">
        <f t="shared" si="63"/>
        <v>150</v>
      </c>
      <c r="B286" s="34">
        <f t="shared" si="64"/>
        <v>150</v>
      </c>
      <c r="C286" s="11">
        <f t="shared" si="65"/>
        <v>423.15</v>
      </c>
      <c r="D286" s="14">
        <f t="shared" si="66"/>
        <v>925.02855025450606</v>
      </c>
      <c r="E286" s="15">
        <f t="shared" si="67"/>
        <v>8.303201526425992E-2</v>
      </c>
      <c r="F286" s="13">
        <f t="shared" si="70"/>
        <v>641.34032434485721</v>
      </c>
      <c r="G286" s="14">
        <f t="shared" si="71"/>
        <v>1.8261654924601913</v>
      </c>
      <c r="H286" s="15">
        <f t="shared" si="72"/>
        <v>4.2658966129019813</v>
      </c>
      <c r="I286" s="15">
        <f t="shared" si="73"/>
        <v>3.5133209879915093</v>
      </c>
      <c r="J286" s="15">
        <f t="shared" si="68"/>
        <v>-1</v>
      </c>
      <c r="K286" s="15">
        <f t="shared" si="69"/>
        <v>1503.9764222182339</v>
      </c>
      <c r="L286" s="35">
        <f t="shared" si="74"/>
        <v>1.8609826343681183E-4</v>
      </c>
      <c r="M286" s="14">
        <f t="shared" si="75"/>
        <v>0.69177924539095248</v>
      </c>
    </row>
    <row r="287" spans="1:13">
      <c r="A287" s="26">
        <f t="shared" si="63"/>
        <v>160</v>
      </c>
      <c r="B287" s="34">
        <f t="shared" si="64"/>
        <v>150</v>
      </c>
      <c r="C287" s="11">
        <f t="shared" si="65"/>
        <v>433.15</v>
      </c>
      <c r="D287" s="14">
        <f t="shared" si="66"/>
        <v>915.78660762238667</v>
      </c>
      <c r="E287" s="15">
        <f t="shared" si="67"/>
        <v>8.1933678647628988E-2</v>
      </c>
      <c r="F287" s="13">
        <f t="shared" si="70"/>
        <v>684.11541679934044</v>
      </c>
      <c r="G287" s="14">
        <f t="shared" si="71"/>
        <v>1.9260757470806882</v>
      </c>
      <c r="H287" s="15">
        <f t="shared" si="72"/>
        <v>4.2896218940788069</v>
      </c>
      <c r="I287" s="15">
        <f t="shared" si="73"/>
        <v>3.4695965496208254</v>
      </c>
      <c r="J287" s="15">
        <f t="shared" si="68"/>
        <v>-1</v>
      </c>
      <c r="K287" s="15">
        <f t="shared" si="69"/>
        <v>1483.0645288046089</v>
      </c>
      <c r="L287" s="35">
        <f t="shared" si="74"/>
        <v>1.7380300815291212E-4</v>
      </c>
      <c r="M287" s="14">
        <f t="shared" si="75"/>
        <v>0.69004572969121281</v>
      </c>
    </row>
    <row r="288" spans="1:13">
      <c r="A288" s="26">
        <f t="shared" si="63"/>
        <v>170</v>
      </c>
      <c r="B288" s="34">
        <f t="shared" si="64"/>
        <v>150</v>
      </c>
      <c r="C288" s="11">
        <f t="shared" si="65"/>
        <v>443.15</v>
      </c>
      <c r="D288" s="14">
        <f t="shared" si="66"/>
        <v>906.13047688709878</v>
      </c>
      <c r="E288" s="15">
        <f t="shared" si="67"/>
        <v>8.09382051965125E-2</v>
      </c>
      <c r="F288" s="13">
        <f t="shared" si="70"/>
        <v>727.14346455579289</v>
      </c>
      <c r="G288" s="14">
        <f t="shared" si="71"/>
        <v>2.0242827617659991</v>
      </c>
      <c r="H288" s="15">
        <f t="shared" si="72"/>
        <v>4.3165604851058834</v>
      </c>
      <c r="I288" s="15">
        <f t="shared" si="73"/>
        <v>3.4270423480524466</v>
      </c>
      <c r="J288" s="15">
        <f t="shared" si="68"/>
        <v>-1</v>
      </c>
      <c r="K288" s="15">
        <f t="shared" si="69"/>
        <v>1460.1441240099946</v>
      </c>
      <c r="L288" s="35">
        <f t="shared" si="74"/>
        <v>1.6304439997239472E-4</v>
      </c>
      <c r="M288" s="14">
        <f t="shared" si="75"/>
        <v>0.68749852991328342</v>
      </c>
    </row>
    <row r="289" spans="1:13">
      <c r="A289" s="26">
        <f t="shared" si="63"/>
        <v>180</v>
      </c>
      <c r="B289" s="34">
        <f t="shared" si="64"/>
        <v>150</v>
      </c>
      <c r="C289" s="11">
        <f t="shared" si="65"/>
        <v>453.15</v>
      </c>
      <c r="D289" s="14">
        <f t="shared" si="66"/>
        <v>896.04618393245539</v>
      </c>
      <c r="E289" s="15">
        <f t="shared" si="67"/>
        <v>8.0042875517523537E-2</v>
      </c>
      <c r="F289" s="13">
        <f t="shared" si="70"/>
        <v>770.45892209181875</v>
      </c>
      <c r="G289" s="14">
        <f t="shared" si="71"/>
        <v>2.1209394293216621</v>
      </c>
      <c r="H289" s="15">
        <f t="shared" si="72"/>
        <v>4.3471908332139542</v>
      </c>
      <c r="I289" s="15">
        <f t="shared" si="73"/>
        <v>3.3857618572301322</v>
      </c>
      <c r="J289" s="15">
        <f t="shared" si="68"/>
        <v>-1</v>
      </c>
      <c r="K289" s="15">
        <f t="shared" si="69"/>
        <v>1435.2485661891326</v>
      </c>
      <c r="L289" s="35">
        <f t="shared" si="74"/>
        <v>1.5356166785564362E-4</v>
      </c>
      <c r="M289" s="14">
        <f t="shared" si="75"/>
        <v>0.68413252200397434</v>
      </c>
    </row>
    <row r="290" spans="1:13">
      <c r="A290" s="26">
        <f t="shared" si="63"/>
        <v>190</v>
      </c>
      <c r="B290" s="34">
        <f t="shared" si="64"/>
        <v>150</v>
      </c>
      <c r="C290" s="11">
        <f t="shared" si="65"/>
        <v>463.15</v>
      </c>
      <c r="D290" s="14">
        <f t="shared" si="66"/>
        <v>885.5147189302088</v>
      </c>
      <c r="E290" s="15">
        <f t="shared" si="67"/>
        <v>7.9246047114957169E-2</v>
      </c>
      <c r="F290" s="13">
        <f t="shared" si="70"/>
        <v>814.10147984617822</v>
      </c>
      <c r="G290" s="14">
        <f t="shared" si="71"/>
        <v>2.2162000559210586</v>
      </c>
      <c r="H290" s="15">
        <f t="shared" si="72"/>
        <v>4.3820845266008694</v>
      </c>
      <c r="I290" s="15">
        <f t="shared" si="73"/>
        <v>3.3458678104387927</v>
      </c>
      <c r="J290" s="15">
        <f t="shared" si="68"/>
        <v>-1</v>
      </c>
      <c r="K290" s="15">
        <f t="shared" si="69"/>
        <v>1408.3892993136174</v>
      </c>
      <c r="L290" s="35">
        <f t="shared" si="74"/>
        <v>1.4514382450544203E-4</v>
      </c>
      <c r="M290" s="14">
        <f t="shared" si="75"/>
        <v>0.67993070378676246</v>
      </c>
    </row>
    <row r="291" spans="1:13">
      <c r="A291" s="26">
        <f t="shared" si="63"/>
        <v>200</v>
      </c>
      <c r="B291" s="34">
        <f t="shared" si="64"/>
        <v>150</v>
      </c>
      <c r="C291" s="11">
        <f t="shared" si="65"/>
        <v>473.15</v>
      </c>
      <c r="D291" s="14">
        <f t="shared" si="66"/>
        <v>874.5114481600699</v>
      </c>
      <c r="E291" s="15">
        <f t="shared" si="67"/>
        <v>7.8547201680181783E-2</v>
      </c>
      <c r="F291" s="13">
        <f t="shared" si="70"/>
        <v>858.11709254239622</v>
      </c>
      <c r="G291" s="14">
        <f t="shared" si="71"/>
        <v>2.3102224365081447</v>
      </c>
      <c r="H291" s="15">
        <f t="shared" si="72"/>
        <v>4.4219269256657476</v>
      </c>
      <c r="I291" s="15">
        <f t="shared" si="73"/>
        <v>3.3074813807703194</v>
      </c>
      <c r="J291" s="15">
        <f t="shared" si="68"/>
        <v>-1</v>
      </c>
      <c r="K291" s="15">
        <f t="shared" si="69"/>
        <v>1379.5602159455648</v>
      </c>
      <c r="L291" s="35">
        <f t="shared" si="74"/>
        <v>1.3761834458872078E-4</v>
      </c>
      <c r="M291" s="14">
        <f t="shared" si="75"/>
        <v>0.6748651787443557</v>
      </c>
    </row>
    <row r="292" spans="1:13">
      <c r="A292" s="26">
        <f t="shared" si="63"/>
        <v>210</v>
      </c>
      <c r="B292" s="34">
        <f t="shared" si="64"/>
        <v>150</v>
      </c>
      <c r="C292" s="11">
        <f t="shared" si="65"/>
        <v>483.15</v>
      </c>
      <c r="D292" s="14">
        <f t="shared" si="66"/>
        <v>863.00527772790565</v>
      </c>
      <c r="E292" s="15">
        <f t="shared" si="67"/>
        <v>7.7947039610133842E-2</v>
      </c>
      <c r="F292" s="13">
        <f t="shared" si="70"/>
        <v>902.55925621991992</v>
      </c>
      <c r="G292" s="14">
        <f t="shared" si="71"/>
        <v>2.4031702330459317</v>
      </c>
      <c r="H292" s="15">
        <f t="shared" si="72"/>
        <v>4.4675468139561261</v>
      </c>
      <c r="I292" s="15">
        <f t="shared" si="73"/>
        <v>3.2707300184055321</v>
      </c>
      <c r="J292" s="15">
        <f t="shared" si="68"/>
        <v>-1</v>
      </c>
      <c r="K292" s="15">
        <f t="shared" si="69"/>
        <v>1348.7415112142592</v>
      </c>
      <c r="L292" s="35">
        <f t="shared" si="74"/>
        <v>1.308426242490882E-4</v>
      </c>
      <c r="M292" s="14">
        <f t="shared" si="75"/>
        <v>0.66889702115960004</v>
      </c>
    </row>
    <row r="293" spans="1:13">
      <c r="A293" s="26">
        <f t="shared" si="63"/>
        <v>220</v>
      </c>
      <c r="B293" s="34">
        <f t="shared" si="64"/>
        <v>150</v>
      </c>
      <c r="C293" s="11">
        <f t="shared" si="65"/>
        <v>493.15</v>
      </c>
      <c r="D293" s="14">
        <f t="shared" si="66"/>
        <v>850.95749151340794</v>
      </c>
      <c r="E293" s="15">
        <f t="shared" si="67"/>
        <v>7.7447634513342328E-2</v>
      </c>
      <c r="F293" s="13">
        <f t="shared" si="70"/>
        <v>947.49064321059564</v>
      </c>
      <c r="G293" s="14">
        <f t="shared" si="71"/>
        <v>2.4952158420621724</v>
      </c>
      <c r="H293" s="15">
        <f t="shared" si="72"/>
        <v>4.5199591971501381</v>
      </c>
      <c r="I293" s="15">
        <f t="shared" si="73"/>
        <v>3.2357446057427413</v>
      </c>
      <c r="J293" s="15">
        <f t="shared" si="68"/>
        <v>-1</v>
      </c>
      <c r="K293" s="15">
        <f t="shared" si="69"/>
        <v>1315.9021950037613</v>
      </c>
      <c r="L293" s="35">
        <f t="shared" si="74"/>
        <v>1.2469744245897446E-4</v>
      </c>
      <c r="M293" s="14">
        <f t="shared" si="75"/>
        <v>0.66197521610825094</v>
      </c>
    </row>
    <row r="294" spans="1:13">
      <c r="A294" s="26">
        <f t="shared" si="63"/>
        <v>230</v>
      </c>
      <c r="B294" s="34">
        <f t="shared" si="64"/>
        <v>150</v>
      </c>
      <c r="C294" s="11">
        <f t="shared" si="65"/>
        <v>503.15</v>
      </c>
      <c r="D294" s="14">
        <f t="shared" si="66"/>
        <v>838.32013798623098</v>
      </c>
      <c r="E294" s="15">
        <f t="shared" si="67"/>
        <v>7.7052668740802369E-2</v>
      </c>
      <c r="F294" s="13">
        <f t="shared" si="70"/>
        <v>992.9852575333008</v>
      </c>
      <c r="G294" s="14">
        <f t="shared" si="71"/>
        <v>2.5865440185373934</v>
      </c>
      <c r="H294" s="15">
        <f t="shared" si="72"/>
        <v>4.5804280374197468</v>
      </c>
      <c r="I294" s="15">
        <f t="shared" si="73"/>
        <v>3.20265722076179</v>
      </c>
      <c r="J294" s="15">
        <f t="shared" si="68"/>
        <v>-1</v>
      </c>
      <c r="K294" s="15">
        <f t="shared" si="69"/>
        <v>1280.9996265149036</v>
      </c>
      <c r="L294" s="35">
        <f t="shared" si="74"/>
        <v>1.1908187075071595E-4</v>
      </c>
      <c r="M294" s="14">
        <f t="shared" si="75"/>
        <v>0.65403497057128746</v>
      </c>
    </row>
    <row r="295" spans="1:13">
      <c r="A295" s="26">
        <f t="shared" si="63"/>
        <v>240</v>
      </c>
      <c r="B295" s="34">
        <f t="shared" si="64"/>
        <v>150</v>
      </c>
      <c r="C295" s="11">
        <f t="shared" si="65"/>
        <v>513.15</v>
      </c>
      <c r="D295" s="14">
        <f t="shared" si="66"/>
        <v>825.03375671125229</v>
      </c>
      <c r="E295" s="15">
        <f t="shared" si="67"/>
        <v>7.676778492083175E-2</v>
      </c>
      <c r="F295" s="13">
        <f t="shared" si="70"/>
        <v>1039.1313631708751</v>
      </c>
      <c r="G295" s="14">
        <f t="shared" si="71"/>
        <v>2.6773566633595354</v>
      </c>
      <c r="H295" s="15">
        <f t="shared" si="72"/>
        <v>4.6505606441188592</v>
      </c>
      <c r="I295" s="15">
        <f t="shared" si="73"/>
        <v>3.1716017272142869</v>
      </c>
      <c r="J295" s="15">
        <f t="shared" si="68"/>
        <v>-1</v>
      </c>
      <c r="K295" s="15">
        <f t="shared" si="69"/>
        <v>1243.973523216574</v>
      </c>
      <c r="L295" s="35">
        <f t="shared" si="74"/>
        <v>1.1390922342329996E-4</v>
      </c>
      <c r="M295" s="14">
        <f t="shared" si="75"/>
        <v>0.64499585718575747</v>
      </c>
    </row>
    <row r="296" spans="1:13">
      <c r="A296" s="26">
        <f t="shared" si="63"/>
        <v>250</v>
      </c>
      <c r="B296" s="34">
        <f t="shared" si="64"/>
        <v>150</v>
      </c>
      <c r="C296" s="11">
        <f t="shared" si="65"/>
        <v>523.15</v>
      </c>
      <c r="D296" s="14">
        <f t="shared" si="66"/>
        <v>811.02408541955162</v>
      </c>
      <c r="E296" s="15">
        <f t="shared" si="67"/>
        <v>7.6601112938822102E-2</v>
      </c>
      <c r="F296" s="13">
        <f t="shared" si="70"/>
        <v>1086.035596279833</v>
      </c>
      <c r="G296" s="14">
        <f t="shared" si="71"/>
        <v>2.7678794323805413</v>
      </c>
      <c r="H296" s="15">
        <f t="shared" si="72"/>
        <v>4.7324546776592404</v>
      </c>
      <c r="I296" s="15">
        <f t="shared" si="73"/>
        <v>3.142720064829446</v>
      </c>
      <c r="J296" s="15">
        <f t="shared" si="68"/>
        <v>-1</v>
      </c>
      <c r="K296" s="15">
        <f t="shared" si="69"/>
        <v>1204.7315684300006</v>
      </c>
      <c r="L296" s="35">
        <f t="shared" si="74"/>
        <v>1.0910372865987928E-4</v>
      </c>
      <c r="M296" s="14">
        <f t="shared" si="75"/>
        <v>0.63476052513029335</v>
      </c>
    </row>
    <row r="297" spans="1:13">
      <c r="A297" s="26">
        <f t="shared" si="63"/>
        <v>260</v>
      </c>
      <c r="B297" s="34">
        <f t="shared" si="64"/>
        <v>150</v>
      </c>
      <c r="C297" s="11">
        <f t="shared" si="65"/>
        <v>533.15</v>
      </c>
      <c r="D297" s="14">
        <f t="shared" si="66"/>
        <v>796.1971225791583</v>
      </c>
      <c r="E297" s="15">
        <f t="shared" si="67"/>
        <v>7.6564075670199253E-2</v>
      </c>
      <c r="F297" s="13">
        <f t="shared" si="70"/>
        <v>1133.8289594497151</v>
      </c>
      <c r="G297" s="14">
        <f t="shared" si="71"/>
        <v>2.8583712809969639</v>
      </c>
      <c r="H297" s="15">
        <f t="shared" si="72"/>
        <v>4.828936019219765</v>
      </c>
      <c r="I297" s="15">
        <f t="shared" si="73"/>
        <v>3.1161763945914882</v>
      </c>
      <c r="J297" s="15">
        <f t="shared" si="68"/>
        <v>-1</v>
      </c>
      <c r="K297" s="15">
        <f t="shared" si="69"/>
        <v>1163.1251406072238</v>
      </c>
      <c r="L297" s="35">
        <f t="shared" si="74"/>
        <v>1.0459764423249438E-4</v>
      </c>
      <c r="M297" s="14">
        <f t="shared" si="75"/>
        <v>0.6232151149675611</v>
      </c>
    </row>
    <row r="298" spans="1:13">
      <c r="A298" s="26">
        <f t="shared" si="63"/>
        <v>270</v>
      </c>
      <c r="B298" s="34">
        <f t="shared" si="64"/>
        <v>150</v>
      </c>
      <c r="C298" s="11">
        <f t="shared" si="65"/>
        <v>543.15</v>
      </c>
      <c r="D298" s="14">
        <f t="shared" si="66"/>
        <v>780.43145526620083</v>
      </c>
      <c r="E298" s="15">
        <f t="shared" si="67"/>
        <v>7.6672656723594967E-2</v>
      </c>
      <c r="F298" s="13">
        <f t="shared" si="70"/>
        <v>1182.6759243345009</v>
      </c>
      <c r="G298" s="14">
        <f t="shared" si="71"/>
        <v>2.9491388940182981</v>
      </c>
      <c r="H298" s="15">
        <f t="shared" si="72"/>
        <v>4.9439583820537543</v>
      </c>
      <c r="I298" s="15">
        <f t="shared" si="73"/>
        <v>3.0921795022961196</v>
      </c>
      <c r="J298" s="15">
        <f t="shared" si="68"/>
        <v>-1</v>
      </c>
      <c r="K298" s="15">
        <f t="shared" si="69"/>
        <v>1118.9168474865828</v>
      </c>
      <c r="L298" s="35">
        <f t="shared" si="74"/>
        <v>1.0032854381564367E-4</v>
      </c>
      <c r="M298" s="14">
        <f t="shared" si="75"/>
        <v>0.61023298153845984</v>
      </c>
    </row>
    <row r="299" spans="1:13">
      <c r="A299" s="26">
        <f t="shared" si="63"/>
        <v>280</v>
      </c>
      <c r="B299" s="34">
        <f t="shared" si="64"/>
        <v>150</v>
      </c>
      <c r="C299" s="11">
        <f t="shared" si="65"/>
        <v>553.15</v>
      </c>
      <c r="D299" s="14">
        <f t="shared" si="66"/>
        <v>763.56593172790019</v>
      </c>
      <c r="E299" s="15">
        <f t="shared" si="67"/>
        <v>7.6949464391925057E-2</v>
      </c>
      <c r="F299" s="13">
        <f t="shared" si="70"/>
        <v>1232.7888617022677</v>
      </c>
      <c r="G299" s="14">
        <f t="shared" si="71"/>
        <v>3.0405595111312715</v>
      </c>
      <c r="H299" s="15">
        <f t="shared" si="72"/>
        <v>5.083300021166318</v>
      </c>
      <c r="I299" s="15">
        <f t="shared" si="73"/>
        <v>3.0710195790636186</v>
      </c>
      <c r="J299" s="15">
        <f t="shared" si="68"/>
        <v>-1</v>
      </c>
      <c r="K299" s="15">
        <f t="shared" si="69"/>
        <v>1071.7410911283284</v>
      </c>
      <c r="L299" s="35">
        <f t="shared" si="74"/>
        <v>9.6236453459579353E-5</v>
      </c>
      <c r="M299" s="14">
        <f t="shared" si="75"/>
        <v>0.59568357949574535</v>
      </c>
    </row>
    <row r="300" spans="1:13">
      <c r="A300" s="26">
        <f t="shared" si="63"/>
        <v>290</v>
      </c>
      <c r="B300" s="34">
        <f t="shared" si="64"/>
        <v>150</v>
      </c>
      <c r="C300" s="11">
        <f t="shared" si="65"/>
        <v>563.15</v>
      </c>
      <c r="D300" s="14">
        <f t="shared" si="66"/>
        <v>745.37912036388764</v>
      </c>
      <c r="E300" s="15">
        <f t="shared" si="67"/>
        <v>7.7427234835414485E-2</v>
      </c>
      <c r="F300" s="13">
        <f t="shared" si="70"/>
        <v>1284.4519830859833</v>
      </c>
      <c r="G300" s="14">
        <f t="shared" si="71"/>
        <v>3.1331187355527592</v>
      </c>
      <c r="H300" s="15">
        <f t="shared" si="72"/>
        <v>5.255835297227585</v>
      </c>
      <c r="I300" s="15">
        <f t="shared" si="73"/>
        <v>3.0531605735634986</v>
      </c>
      <c r="J300" s="15">
        <f t="shared" si="68"/>
        <v>-1</v>
      </c>
      <c r="K300" s="15">
        <f t="shared" si="69"/>
        <v>1021.0426547924995</v>
      </c>
      <c r="L300" s="35">
        <f t="shared" si="74"/>
        <v>9.2260376712466303E-5</v>
      </c>
      <c r="M300" s="14">
        <f t="shared" si="75"/>
        <v>0.57944761245124676</v>
      </c>
    </row>
    <row r="301" spans="1:13">
      <c r="A301" s="26">
        <f t="shared" si="63"/>
        <v>300</v>
      </c>
      <c r="B301" s="34">
        <f t="shared" si="64"/>
        <v>150</v>
      </c>
      <c r="C301" s="11">
        <f t="shared" si="65"/>
        <v>573.15</v>
      </c>
      <c r="D301" s="14">
        <f t="shared" si="66"/>
        <v>725.55327522717323</v>
      </c>
      <c r="E301" s="15">
        <f t="shared" si="67"/>
        <v>7.8155124174755064E-2</v>
      </c>
      <c r="F301" s="13">
        <f t="shared" si="70"/>
        <v>1338.0632609534975</v>
      </c>
      <c r="G301" s="14">
        <f t="shared" si="71"/>
        <v>3.2274766317336372</v>
      </c>
      <c r="H301" s="15">
        <f t="shared" si="72"/>
        <v>5.4760165314084359</v>
      </c>
      <c r="I301" s="15">
        <f t="shared" si="73"/>
        <v>3.0394775488891139</v>
      </c>
      <c r="J301" s="15">
        <f t="shared" si="68"/>
        <v>-1</v>
      </c>
      <c r="K301" s="15">
        <f t="shared" si="69"/>
        <v>965.96063292064628</v>
      </c>
      <c r="L301" s="35">
        <f t="shared" si="74"/>
        <v>8.8333362476973183E-5</v>
      </c>
      <c r="M301" s="14">
        <f t="shared" si="75"/>
        <v>0.56143592682432031</v>
      </c>
    </row>
    <row r="302" spans="1:13">
      <c r="A302" s="26">
        <f t="shared" si="63"/>
        <v>310</v>
      </c>
      <c r="B302" s="34">
        <f t="shared" si="64"/>
        <v>150</v>
      </c>
      <c r="C302" s="11">
        <f t="shared" si="65"/>
        <v>583.15</v>
      </c>
      <c r="D302" s="14">
        <f t="shared" si="66"/>
        <v>703.60663972645705</v>
      </c>
      <c r="E302" s="15">
        <f t="shared" si="67"/>
        <v>7.921088252847841E-2</v>
      </c>
      <c r="F302" s="13">
        <f t="shared" si="70"/>
        <v>1394.2131512553665</v>
      </c>
      <c r="G302" s="14">
        <f t="shared" si="71"/>
        <v>3.324591699575973</v>
      </c>
      <c r="H302" s="15">
        <f t="shared" si="72"/>
        <v>5.7691579074344048</v>
      </c>
      <c r="I302" s="15">
        <f t="shared" si="73"/>
        <v>3.031503926431184</v>
      </c>
      <c r="J302" s="15">
        <f t="shared" si="68"/>
        <v>-1</v>
      </c>
      <c r="K302" s="15">
        <f t="shared" si="69"/>
        <v>905.25333189767582</v>
      </c>
      <c r="L302" s="35">
        <f t="shared" si="74"/>
        <v>8.437433293577662E-5</v>
      </c>
      <c r="M302" s="14">
        <f t="shared" si="75"/>
        <v>0.54160097365013271</v>
      </c>
    </row>
    <row r="303" spans="1:13">
      <c r="A303" s="26">
        <f t="shared" si="63"/>
        <v>320</v>
      </c>
      <c r="B303" s="34">
        <f t="shared" si="64"/>
        <v>150</v>
      </c>
      <c r="C303" s="11">
        <f t="shared" si="65"/>
        <v>593.15</v>
      </c>
      <c r="D303" s="14">
        <f t="shared" si="66"/>
        <v>678.75763644933591</v>
      </c>
      <c r="E303" s="15">
        <f t="shared" si="67"/>
        <v>8.0726439428435284E-2</v>
      </c>
      <c r="F303" s="13">
        <f t="shared" si="70"/>
        <v>1453.8460497470255</v>
      </c>
      <c r="G303" s="14">
        <f t="shared" si="71"/>
        <v>3.4259748212631558</v>
      </c>
      <c r="H303" s="15">
        <f t="shared" si="72"/>
        <v>6.1838754332279775</v>
      </c>
      <c r="I303" s="15">
        <f t="shared" si="73"/>
        <v>3.0305509814748177</v>
      </c>
      <c r="J303" s="15">
        <f t="shared" si="68"/>
        <v>-1</v>
      </c>
      <c r="K303" s="15">
        <f t="shared" si="69"/>
        <v>837.75405832727574</v>
      </c>
      <c r="L303" s="35">
        <f t="shared" si="74"/>
        <v>8.0272953163543014E-5</v>
      </c>
      <c r="M303" s="14">
        <f t="shared" si="75"/>
        <v>0.51992444478752509</v>
      </c>
    </row>
    <row r="304" spans="1:13">
      <c r="A304" s="26">
        <f t="shared" ref="A304:A306" si="76">A278</f>
        <v>330</v>
      </c>
      <c r="B304" s="34">
        <f t="shared" ref="B304:B306" si="77">B278+10</f>
        <v>150</v>
      </c>
      <c r="C304" s="11">
        <f t="shared" ref="C304:C306" si="78">A304+$E$13</f>
        <v>603.15</v>
      </c>
      <c r="D304" s="14">
        <f t="shared" ref="D304:D306" si="79">densw(C304,B304)</f>
        <v>649.61853654555046</v>
      </c>
      <c r="E304" s="15">
        <f t="shared" ref="E304:E306" si="80">B304*100*$E$11/($E$12*C304)/D304</f>
        <v>8.2949031595948353E-2</v>
      </c>
      <c r="F304" s="13">
        <f t="shared" si="70"/>
        <v>1518.6393700560443</v>
      </c>
      <c r="G304" s="14">
        <f t="shared" si="71"/>
        <v>3.5342852929722306</v>
      </c>
      <c r="H304" s="15">
        <f t="shared" si="72"/>
        <v>6.8289169597203569</v>
      </c>
      <c r="I304" s="15">
        <f t="shared" si="73"/>
        <v>3.0367252269138936</v>
      </c>
      <c r="J304" s="15">
        <f t="shared" ref="J304:J306" si="81">isentropic_coeffW(C304,B304)</f>
        <v>-1</v>
      </c>
      <c r="K304" s="15">
        <f t="shared" ref="K304:K306" si="82">spsoundW(C304,B304)</f>
        <v>762.3545660380463</v>
      </c>
      <c r="L304" s="35">
        <f t="shared" si="74"/>
        <v>7.5857009417524163E-5</v>
      </c>
      <c r="M304" s="14">
        <f t="shared" si="75"/>
        <v>0.49636008973223017</v>
      </c>
    </row>
    <row r="305" spans="1:13">
      <c r="A305" s="26">
        <f t="shared" si="76"/>
        <v>340</v>
      </c>
      <c r="B305" s="34">
        <f t="shared" si="77"/>
        <v>150</v>
      </c>
      <c r="C305" s="11">
        <f t="shared" si="78"/>
        <v>613.15</v>
      </c>
      <c r="D305" s="14">
        <f t="shared" si="79"/>
        <v>613.09399023027117</v>
      </c>
      <c r="E305" s="15">
        <f t="shared" si="80"/>
        <v>8.6457220519058853E-2</v>
      </c>
      <c r="F305" s="13">
        <f t="shared" si="70"/>
        <v>1592.2732929183142</v>
      </c>
      <c r="G305" s="14">
        <f t="shared" si="71"/>
        <v>3.6553392721616267</v>
      </c>
      <c r="H305" s="15">
        <f t="shared" si="72"/>
        <v>8.0647223329509092</v>
      </c>
      <c r="I305" s="15">
        <f t="shared" si="73"/>
        <v>3.0754131361809294</v>
      </c>
      <c r="J305" s="15">
        <f t="shared" si="81"/>
        <v>-1</v>
      </c>
      <c r="K305" s="15">
        <f t="shared" si="82"/>
        <v>666.57944098753921</v>
      </c>
      <c r="L305" s="35">
        <f t="shared" si="74"/>
        <v>7.0768357868465287E-5</v>
      </c>
      <c r="M305" s="14">
        <f t="shared" si="75"/>
        <v>0.47019250239314386</v>
      </c>
    </row>
    <row r="306" spans="1:13">
      <c r="A306" s="26">
        <f t="shared" si="76"/>
        <v>350</v>
      </c>
      <c r="B306" s="34">
        <f t="shared" si="77"/>
        <v>150</v>
      </c>
      <c r="C306" s="11">
        <f t="shared" si="78"/>
        <v>623.15</v>
      </c>
      <c r="D306" s="14">
        <f t="shared" si="79"/>
        <v>87.102683889094706</v>
      </c>
      <c r="E306" s="15">
        <f t="shared" si="80"/>
        <v>0.5987850168388914</v>
      </c>
      <c r="F306" s="13">
        <f t="shared" si="70"/>
        <v>2692.999815405391</v>
      </c>
      <c r="G306" s="14">
        <f t="shared" si="71"/>
        <v>5.443497032624216</v>
      </c>
      <c r="H306" s="15">
        <f t="shared" si="72"/>
        <v>8.7885126098704713</v>
      </c>
      <c r="I306" s="15">
        <f t="shared" si="73"/>
        <v>3.1322994701835545</v>
      </c>
      <c r="J306" s="15">
        <f t="shared" si="81"/>
        <v>1.2550641413631338</v>
      </c>
      <c r="K306" s="15">
        <f t="shared" si="82"/>
        <v>464.90350636843476</v>
      </c>
      <c r="L306" s="35">
        <f t="shared" si="74"/>
        <v>2.2935282504602075E-5</v>
      </c>
      <c r="M306" s="14">
        <f t="shared" si="75"/>
        <v>0.10079248102069988</v>
      </c>
    </row>
    <row r="307" spans="1:13">
      <c r="A307" s="26"/>
      <c r="B307" s="34"/>
      <c r="C307" s="11"/>
      <c r="D307" s="14"/>
      <c r="E307" s="15"/>
      <c r="F307" s="13"/>
      <c r="G307" s="14"/>
      <c r="H307" s="15"/>
      <c r="I307" s="15"/>
      <c r="J307" s="15"/>
      <c r="K307" s="15"/>
      <c r="L307" s="35"/>
      <c r="M307" s="14"/>
    </row>
    <row r="308" spans="1:13">
      <c r="A308" s="26"/>
      <c r="B308" s="34"/>
      <c r="C308" s="11"/>
      <c r="D308" s="14"/>
      <c r="E308" s="15"/>
      <c r="F308" s="13"/>
      <c r="G308" s="14"/>
      <c r="H308" s="15"/>
      <c r="I308" s="15"/>
      <c r="J308" s="15"/>
      <c r="K308" s="15"/>
      <c r="L308" s="35"/>
      <c r="M308" s="14"/>
    </row>
    <row r="309" spans="1:13">
      <c r="A309" s="26"/>
      <c r="B309" s="34"/>
      <c r="C309" s="11"/>
      <c r="D309" s="14"/>
      <c r="E309" s="15"/>
      <c r="F309" s="13"/>
      <c r="G309" s="14"/>
      <c r="H309" s="15"/>
      <c r="I309" s="15"/>
      <c r="J309" s="15"/>
      <c r="K309" s="15"/>
      <c r="L309" s="35"/>
      <c r="M309" s="14"/>
    </row>
    <row r="310" spans="1:13">
      <c r="A310" s="26"/>
      <c r="B310" s="34"/>
      <c r="C310" s="11"/>
      <c r="D310" s="14"/>
      <c r="E310" s="15"/>
      <c r="F310" s="13"/>
      <c r="G310" s="14"/>
      <c r="H310" s="15"/>
      <c r="I310" s="15"/>
      <c r="J310" s="15"/>
      <c r="K310" s="15"/>
      <c r="L310" s="35"/>
      <c r="M310" s="14"/>
    </row>
    <row r="311" spans="1:13">
      <c r="A311" s="26"/>
      <c r="B311" s="34"/>
      <c r="C311" s="11"/>
      <c r="D311" s="14"/>
      <c r="E311" s="15"/>
      <c r="F311" s="13"/>
      <c r="G311" s="14"/>
      <c r="H311" s="15"/>
      <c r="I311" s="15"/>
      <c r="J311" s="15"/>
      <c r="K311" s="15"/>
      <c r="L311" s="35"/>
      <c r="M311" s="14"/>
    </row>
    <row r="312" spans="1:13">
      <c r="A312" s="26"/>
      <c r="B312" s="34"/>
      <c r="C312" s="11"/>
      <c r="D312" s="14"/>
      <c r="E312" s="15"/>
      <c r="F312" s="13"/>
      <c r="G312" s="14"/>
      <c r="H312" s="15"/>
      <c r="I312" s="15"/>
      <c r="J312" s="15"/>
      <c r="K312" s="15"/>
      <c r="L312" s="35"/>
      <c r="M312" s="14"/>
    </row>
    <row r="313" spans="1:13">
      <c r="A313" s="26"/>
      <c r="B313" s="34"/>
      <c r="C313" s="11"/>
      <c r="D313" s="14"/>
      <c r="E313" s="15"/>
      <c r="F313" s="13"/>
      <c r="G313" s="14"/>
      <c r="H313" s="15"/>
      <c r="I313" s="15"/>
      <c r="J313" s="15"/>
      <c r="K313" s="15"/>
      <c r="L313" s="35"/>
      <c r="M313" s="14"/>
    </row>
    <row r="314" spans="1:13">
      <c r="A314" s="26"/>
      <c r="B314" s="34"/>
      <c r="C314" s="11"/>
      <c r="D314" s="14"/>
      <c r="E314" s="15"/>
      <c r="F314" s="13"/>
      <c r="G314" s="14"/>
      <c r="H314" s="15"/>
      <c r="I314" s="15"/>
      <c r="J314" s="15"/>
      <c r="K314" s="15"/>
      <c r="L314" s="35"/>
      <c r="M314" s="14"/>
    </row>
    <row r="315" spans="1:13">
      <c r="A315" s="26"/>
      <c r="B315" s="34"/>
      <c r="C315" s="11"/>
      <c r="D315" s="14"/>
      <c r="E315" s="15"/>
      <c r="F315" s="13"/>
      <c r="G315" s="14"/>
      <c r="H315" s="15"/>
      <c r="I315" s="15"/>
      <c r="J315" s="15"/>
      <c r="K315" s="15"/>
      <c r="L315" s="35"/>
      <c r="M315" s="14"/>
    </row>
    <row r="316" spans="1:13">
      <c r="A316" s="26"/>
      <c r="B316" s="34"/>
      <c r="C316" s="11"/>
      <c r="D316" s="14"/>
      <c r="E316" s="15"/>
      <c r="F316" s="13"/>
      <c r="G316" s="14"/>
      <c r="H316" s="15"/>
      <c r="I316" s="15"/>
      <c r="J316" s="15"/>
      <c r="K316" s="15"/>
      <c r="L316" s="35"/>
      <c r="M316" s="14"/>
    </row>
    <row r="317" spans="1:13">
      <c r="A317" s="26"/>
      <c r="B317" s="34"/>
      <c r="C317" s="11"/>
      <c r="D317" s="14"/>
      <c r="E317" s="15"/>
      <c r="F317" s="13"/>
      <c r="G317" s="14"/>
      <c r="H317" s="15"/>
      <c r="I317" s="15"/>
      <c r="J317" s="15"/>
      <c r="K317" s="15"/>
      <c r="L317" s="35"/>
      <c r="M317" s="14"/>
    </row>
    <row r="318" spans="1:13">
      <c r="A318" s="26"/>
      <c r="B318" s="34"/>
      <c r="C318" s="11"/>
      <c r="D318" s="14"/>
      <c r="E318" s="15"/>
      <c r="F318" s="13"/>
      <c r="G318" s="14"/>
      <c r="H318" s="15"/>
      <c r="I318" s="15"/>
      <c r="J318" s="15"/>
      <c r="K318" s="15"/>
      <c r="L318" s="35"/>
      <c r="M318" s="14"/>
    </row>
    <row r="319" spans="1:13">
      <c r="A319" s="26"/>
      <c r="B319" s="34"/>
      <c r="C319" s="11"/>
      <c r="D319" s="14"/>
      <c r="E319" s="15"/>
      <c r="F319" s="13"/>
      <c r="G319" s="14"/>
      <c r="H319" s="15"/>
      <c r="I319" s="15"/>
      <c r="J319" s="15"/>
      <c r="K319" s="15"/>
      <c r="L319" s="35"/>
      <c r="M319" s="14"/>
    </row>
    <row r="320" spans="1:13">
      <c r="A320" s="26"/>
      <c r="B320" s="34"/>
      <c r="C320" s="11"/>
      <c r="D320" s="14"/>
      <c r="E320" s="15"/>
      <c r="F320" s="13"/>
      <c r="G320" s="14"/>
      <c r="H320" s="15"/>
      <c r="I320" s="15"/>
      <c r="J320" s="15"/>
      <c r="K320" s="15"/>
      <c r="L320" s="35"/>
      <c r="M320" s="14"/>
    </row>
    <row r="321" spans="1:13">
      <c r="A321" s="26"/>
      <c r="B321" s="34"/>
      <c r="C321" s="11"/>
      <c r="D321" s="14"/>
      <c r="E321" s="15"/>
      <c r="F321" s="13"/>
      <c r="G321" s="14"/>
      <c r="H321" s="15"/>
      <c r="I321" s="15"/>
      <c r="J321" s="15"/>
      <c r="K321" s="15"/>
      <c r="L321" s="35"/>
      <c r="M321" s="14"/>
    </row>
    <row r="322" spans="1:13">
      <c r="A322" s="26"/>
      <c r="B322" s="34"/>
      <c r="C322" s="11"/>
      <c r="D322" s="14"/>
      <c r="E322" s="15"/>
      <c r="F322" s="13"/>
      <c r="G322" s="14"/>
      <c r="H322" s="15"/>
      <c r="I322" s="15"/>
      <c r="J322" s="15"/>
      <c r="K322" s="15"/>
      <c r="L322" s="35"/>
      <c r="M322" s="14"/>
    </row>
    <row r="323" spans="1:13">
      <c r="A323" s="26"/>
      <c r="B323" s="34"/>
      <c r="C323" s="11"/>
      <c r="D323" s="14"/>
      <c r="E323" s="15"/>
      <c r="F323" s="13"/>
      <c r="G323" s="14"/>
      <c r="H323" s="15"/>
      <c r="I323" s="15"/>
      <c r="J323" s="15"/>
      <c r="K323" s="15"/>
      <c r="L323" s="35"/>
      <c r="M323" s="14"/>
    </row>
    <row r="324" spans="1:13">
      <c r="A324" s="26"/>
      <c r="B324" s="34"/>
      <c r="C324" s="11"/>
      <c r="D324" s="14"/>
      <c r="E324" s="15"/>
      <c r="F324" s="13"/>
      <c r="G324" s="14"/>
      <c r="H324" s="15"/>
      <c r="I324" s="15"/>
      <c r="J324" s="15"/>
      <c r="K324" s="15"/>
      <c r="L324" s="35"/>
      <c r="M324" s="14"/>
    </row>
    <row r="325" spans="1:13">
      <c r="A325" s="26"/>
      <c r="B325" s="34"/>
      <c r="C325" s="11"/>
      <c r="D325" s="14"/>
      <c r="E325" s="15"/>
      <c r="F325" s="13"/>
      <c r="G325" s="14"/>
      <c r="H325" s="15"/>
      <c r="I325" s="15"/>
      <c r="J325" s="15"/>
      <c r="K325" s="15"/>
      <c r="L325" s="35"/>
      <c r="M325" s="14"/>
    </row>
    <row r="326" spans="1:13">
      <c r="A326" s="26"/>
      <c r="B326" s="34"/>
      <c r="C326" s="11"/>
      <c r="D326" s="14"/>
      <c r="E326" s="15"/>
      <c r="F326" s="13"/>
      <c r="G326" s="14"/>
      <c r="H326" s="15"/>
      <c r="I326" s="15"/>
      <c r="J326" s="15"/>
      <c r="K326" s="15"/>
      <c r="L326" s="35"/>
      <c r="M326" s="14"/>
    </row>
    <row r="327" spans="1:13">
      <c r="A327" s="26"/>
      <c r="B327" s="34"/>
      <c r="C327" s="11"/>
      <c r="D327" s="14"/>
      <c r="E327" s="15"/>
      <c r="F327" s="13"/>
      <c r="G327" s="14"/>
      <c r="H327" s="15"/>
      <c r="I327" s="15"/>
      <c r="J327" s="15"/>
      <c r="K327" s="15"/>
      <c r="L327" s="35"/>
      <c r="M327" s="14"/>
    </row>
    <row r="328" spans="1:13">
      <c r="A328" s="26"/>
      <c r="B328" s="34"/>
      <c r="C328" s="11"/>
      <c r="D328" s="14"/>
      <c r="E328" s="15"/>
      <c r="F328" s="13"/>
      <c r="G328" s="14"/>
      <c r="H328" s="15"/>
      <c r="I328" s="15"/>
      <c r="J328" s="15"/>
      <c r="K328" s="15"/>
      <c r="L328" s="35"/>
      <c r="M328" s="14"/>
    </row>
    <row r="329" spans="1:13">
      <c r="A329" s="26"/>
      <c r="B329" s="34"/>
      <c r="C329" s="11"/>
      <c r="D329" s="14"/>
      <c r="E329" s="15"/>
      <c r="F329" s="13"/>
      <c r="G329" s="14"/>
      <c r="H329" s="15"/>
      <c r="I329" s="15"/>
      <c r="J329" s="15"/>
      <c r="K329" s="15"/>
      <c r="L329" s="35"/>
      <c r="M329" s="14"/>
    </row>
    <row r="330" spans="1:13">
      <c r="A330" s="26"/>
      <c r="B330" s="34"/>
      <c r="C330" s="11"/>
      <c r="D330" s="14"/>
      <c r="E330" s="15"/>
      <c r="F330" s="13"/>
      <c r="G330" s="14"/>
      <c r="H330" s="15"/>
      <c r="I330" s="15"/>
      <c r="J330" s="15"/>
      <c r="K330" s="15"/>
      <c r="L330" s="35"/>
      <c r="M330" s="14"/>
    </row>
    <row r="331" spans="1:13">
      <c r="A331" s="26"/>
      <c r="B331" s="34"/>
      <c r="C331" s="11"/>
      <c r="D331" s="14"/>
      <c r="E331" s="15"/>
      <c r="F331" s="13"/>
      <c r="G331" s="14"/>
      <c r="H331" s="15"/>
      <c r="I331" s="15"/>
      <c r="J331" s="15"/>
      <c r="K331" s="15"/>
      <c r="L331" s="35"/>
      <c r="M331" s="14"/>
    </row>
    <row r="332" spans="1:13">
      <c r="A332" s="26"/>
      <c r="B332" s="34"/>
      <c r="C332" s="11"/>
      <c r="D332" s="14"/>
      <c r="E332" s="15"/>
      <c r="F332" s="13"/>
      <c r="G332" s="14"/>
      <c r="H332" s="15"/>
      <c r="I332" s="15"/>
      <c r="J332" s="15"/>
      <c r="K332" s="15"/>
      <c r="L332" s="35"/>
      <c r="M332" s="14"/>
    </row>
    <row r="333" spans="1:13">
      <c r="A333" s="26"/>
      <c r="B333" s="34"/>
      <c r="C333" s="11"/>
      <c r="D333" s="14"/>
      <c r="E333" s="15"/>
      <c r="F333" s="13"/>
      <c r="G333" s="14"/>
      <c r="H333" s="15"/>
      <c r="I333" s="15"/>
      <c r="J333" s="15"/>
      <c r="K333" s="15"/>
      <c r="L333" s="35"/>
      <c r="M333" s="14"/>
    </row>
    <row r="334" spans="1:13">
      <c r="A334" s="26"/>
      <c r="B334" s="34"/>
      <c r="C334" s="11"/>
      <c r="D334" s="14"/>
      <c r="E334" s="15"/>
      <c r="F334" s="13"/>
      <c r="G334" s="14"/>
      <c r="H334" s="15"/>
      <c r="I334" s="15"/>
      <c r="J334" s="15"/>
      <c r="K334" s="15"/>
      <c r="L334" s="35"/>
      <c r="M334" s="14"/>
    </row>
    <row r="335" spans="1:13">
      <c r="A335" s="26"/>
      <c r="B335" s="34"/>
      <c r="C335" s="11"/>
      <c r="D335" s="14"/>
      <c r="E335" s="15"/>
      <c r="F335" s="13"/>
      <c r="G335" s="14"/>
      <c r="H335" s="15"/>
      <c r="I335" s="15"/>
      <c r="J335" s="15"/>
      <c r="K335" s="15"/>
      <c r="L335" s="35"/>
      <c r="M335" s="14"/>
    </row>
    <row r="336" spans="1:13">
      <c r="A336" s="26"/>
      <c r="B336" s="34"/>
      <c r="C336" s="11"/>
      <c r="D336" s="14"/>
      <c r="E336" s="15"/>
      <c r="F336" s="13"/>
      <c r="G336" s="14"/>
      <c r="H336" s="15"/>
      <c r="I336" s="15"/>
      <c r="J336" s="15"/>
      <c r="K336" s="15"/>
      <c r="L336" s="35"/>
      <c r="M336" s="14"/>
    </row>
    <row r="337" spans="1:13">
      <c r="A337" s="26"/>
      <c r="B337" s="34"/>
      <c r="C337" s="11"/>
      <c r="D337" s="14"/>
      <c r="E337" s="15"/>
      <c r="F337" s="13"/>
      <c r="G337" s="14"/>
      <c r="H337" s="15"/>
      <c r="I337" s="15"/>
      <c r="J337" s="15"/>
      <c r="K337" s="15"/>
      <c r="L337" s="35"/>
      <c r="M337" s="14"/>
    </row>
    <row r="338" spans="1:13">
      <c r="A338" s="26"/>
      <c r="B338" s="34"/>
      <c r="C338" s="11"/>
      <c r="D338" s="14"/>
      <c r="E338" s="15"/>
      <c r="F338" s="13"/>
      <c r="G338" s="14"/>
      <c r="H338" s="15"/>
      <c r="I338" s="15"/>
      <c r="J338" s="15"/>
      <c r="K338" s="15"/>
      <c r="L338" s="35"/>
      <c r="M338" s="14"/>
    </row>
    <row r="339" spans="1:13">
      <c r="A339" s="26"/>
      <c r="B339" s="34"/>
      <c r="C339" s="11"/>
      <c r="D339" s="14"/>
      <c r="E339" s="15"/>
      <c r="F339" s="13"/>
      <c r="G339" s="14"/>
      <c r="H339" s="15"/>
      <c r="I339" s="15"/>
      <c r="J339" s="15"/>
      <c r="K339" s="15"/>
      <c r="L339" s="35"/>
      <c r="M339" s="14"/>
    </row>
    <row r="340" spans="1:13">
      <c r="A340" s="26"/>
      <c r="B340" s="34"/>
      <c r="C340" s="11"/>
      <c r="D340" s="14"/>
      <c r="E340" s="15"/>
      <c r="F340" s="13"/>
      <c r="G340" s="14"/>
      <c r="H340" s="15"/>
      <c r="I340" s="15"/>
      <c r="J340" s="15"/>
      <c r="K340" s="15"/>
      <c r="L340" s="35"/>
      <c r="M340" s="14"/>
    </row>
    <row r="341" spans="1:13">
      <c r="A341" s="26"/>
      <c r="B341" s="34"/>
      <c r="C341" s="11"/>
      <c r="D341" s="14"/>
      <c r="E341" s="15"/>
      <c r="F341" s="13"/>
      <c r="G341" s="14"/>
      <c r="H341" s="15"/>
      <c r="I341" s="15"/>
      <c r="J341" s="15"/>
      <c r="K341" s="15"/>
      <c r="L341" s="35"/>
      <c r="M341" s="14"/>
    </row>
    <row r="342" spans="1:13">
      <c r="A342" s="26"/>
      <c r="B342" s="34"/>
      <c r="C342" s="11"/>
      <c r="D342" s="14"/>
      <c r="E342" s="15"/>
      <c r="F342" s="13"/>
      <c r="G342" s="14"/>
      <c r="H342" s="15"/>
      <c r="I342" s="15"/>
      <c r="J342" s="15"/>
      <c r="K342" s="15"/>
      <c r="L342" s="35"/>
      <c r="M342" s="14"/>
    </row>
    <row r="343" spans="1:13">
      <c r="A343" s="26"/>
      <c r="B343" s="34"/>
      <c r="C343" s="11"/>
      <c r="D343" s="14"/>
      <c r="E343" s="15"/>
      <c r="F343" s="13"/>
      <c r="G343" s="14"/>
      <c r="H343" s="15"/>
      <c r="I343" s="15"/>
      <c r="J343" s="15"/>
      <c r="K343" s="15"/>
      <c r="L343" s="35"/>
      <c r="M343" s="14"/>
    </row>
    <row r="344" spans="1:13">
      <c r="A344" s="26"/>
      <c r="B344" s="34"/>
      <c r="C344" s="11"/>
      <c r="D344" s="14"/>
      <c r="E344" s="15"/>
      <c r="F344" s="13"/>
      <c r="G344" s="14"/>
      <c r="H344" s="15"/>
      <c r="I344" s="15"/>
      <c r="J344" s="15"/>
      <c r="K344" s="15"/>
      <c r="L344" s="35"/>
      <c r="M344" s="14"/>
    </row>
    <row r="345" spans="1:13">
      <c r="A345" s="26"/>
      <c r="B345" s="34"/>
      <c r="C345" s="11"/>
      <c r="D345" s="14"/>
      <c r="E345" s="15"/>
      <c r="F345" s="13"/>
      <c r="G345" s="14"/>
      <c r="H345" s="15"/>
      <c r="I345" s="15"/>
      <c r="J345" s="15"/>
      <c r="K345" s="15"/>
      <c r="L345" s="35"/>
      <c r="M345" s="14"/>
    </row>
    <row r="346" spans="1:13">
      <c r="A346" s="26"/>
      <c r="B346" s="34"/>
      <c r="C346" s="11"/>
      <c r="D346" s="14"/>
      <c r="E346" s="15"/>
      <c r="F346" s="13"/>
      <c r="G346" s="14"/>
      <c r="H346" s="15"/>
      <c r="I346" s="15"/>
      <c r="J346" s="15"/>
      <c r="K346" s="15"/>
      <c r="L346" s="35"/>
      <c r="M346" s="14"/>
    </row>
    <row r="347" spans="1:13">
      <c r="A347" s="26"/>
      <c r="B347" s="34"/>
      <c r="C347" s="11"/>
      <c r="D347" s="14"/>
      <c r="E347" s="15"/>
      <c r="F347" s="13"/>
      <c r="G347" s="14"/>
      <c r="H347" s="15"/>
      <c r="I347" s="15"/>
      <c r="J347" s="15"/>
      <c r="K347" s="15"/>
      <c r="L347" s="35"/>
      <c r="M347" s="14"/>
    </row>
    <row r="348" spans="1:13">
      <c r="A348" s="26"/>
      <c r="B348" s="34"/>
      <c r="C348" s="11"/>
      <c r="D348" s="14"/>
      <c r="E348" s="15"/>
      <c r="F348" s="13"/>
      <c r="G348" s="14"/>
      <c r="H348" s="15"/>
      <c r="I348" s="15"/>
      <c r="J348" s="15"/>
      <c r="K348" s="15"/>
      <c r="L348" s="35"/>
      <c r="M348" s="14"/>
    </row>
    <row r="349" spans="1:13">
      <c r="A349" s="26"/>
      <c r="B349" s="34"/>
      <c r="C349" s="11"/>
      <c r="D349" s="14"/>
      <c r="E349" s="15"/>
      <c r="F349" s="13"/>
      <c r="G349" s="14"/>
      <c r="H349" s="15"/>
      <c r="I349" s="15"/>
      <c r="J349" s="15"/>
      <c r="K349" s="15"/>
      <c r="L349" s="35"/>
      <c r="M349" s="14"/>
    </row>
    <row r="350" spans="1:13">
      <c r="A350" s="26"/>
      <c r="B350" s="34"/>
      <c r="C350" s="11"/>
      <c r="D350" s="14"/>
      <c r="E350" s="15"/>
      <c r="F350" s="13"/>
      <c r="G350" s="14"/>
      <c r="H350" s="15"/>
      <c r="I350" s="15"/>
      <c r="J350" s="15"/>
      <c r="K350" s="15"/>
      <c r="L350" s="35"/>
      <c r="M350" s="14"/>
    </row>
    <row r="351" spans="1:13">
      <c r="A351" s="26"/>
      <c r="B351" s="34"/>
      <c r="C351" s="11"/>
      <c r="D351" s="14"/>
      <c r="E351" s="15"/>
      <c r="F351" s="13"/>
      <c r="G351" s="14"/>
      <c r="H351" s="15"/>
      <c r="I351" s="15"/>
      <c r="J351" s="15"/>
      <c r="K351" s="15"/>
      <c r="L351" s="35"/>
      <c r="M351" s="14"/>
    </row>
    <row r="352" spans="1:13">
      <c r="A352" s="26"/>
      <c r="B352" s="34"/>
      <c r="C352" s="11"/>
      <c r="D352" s="14"/>
      <c r="E352" s="15"/>
      <c r="F352" s="13"/>
      <c r="G352" s="14"/>
      <c r="H352" s="15"/>
      <c r="I352" s="15"/>
      <c r="J352" s="15"/>
      <c r="K352" s="15"/>
      <c r="L352" s="35"/>
      <c r="M352" s="14"/>
    </row>
    <row r="353" spans="1:13">
      <c r="A353" s="26"/>
      <c r="B353" s="34"/>
      <c r="C353" s="11"/>
      <c r="D353" s="14"/>
      <c r="E353" s="15"/>
      <c r="F353" s="13"/>
      <c r="G353" s="14"/>
      <c r="H353" s="15"/>
      <c r="I353" s="15"/>
      <c r="J353" s="15"/>
      <c r="K353" s="15"/>
      <c r="L353" s="35"/>
      <c r="M353" s="14"/>
    </row>
    <row r="354" spans="1:13">
      <c r="A354" s="26"/>
      <c r="B354" s="34"/>
      <c r="C354" s="11"/>
      <c r="D354" s="14"/>
      <c r="E354" s="15"/>
      <c r="F354" s="13"/>
      <c r="G354" s="14"/>
      <c r="H354" s="15"/>
      <c r="I354" s="15"/>
      <c r="J354" s="15"/>
      <c r="K354" s="15"/>
      <c r="L354" s="35"/>
      <c r="M354" s="14"/>
    </row>
    <row r="355" spans="1:13">
      <c r="A355" s="26"/>
      <c r="B355" s="34"/>
      <c r="C355" s="11"/>
      <c r="D355" s="14"/>
      <c r="E355" s="15"/>
      <c r="F355" s="13"/>
      <c r="G355" s="14"/>
      <c r="H355" s="15"/>
      <c r="I355" s="15"/>
      <c r="J355" s="15"/>
      <c r="K355" s="15"/>
      <c r="L355" s="35"/>
      <c r="M355" s="14"/>
    </row>
    <row r="356" spans="1:13">
      <c r="A356" s="26"/>
      <c r="B356" s="34"/>
      <c r="C356" s="11"/>
      <c r="D356" s="14"/>
      <c r="E356" s="15"/>
      <c r="F356" s="13"/>
      <c r="G356" s="14"/>
      <c r="H356" s="15"/>
      <c r="I356" s="15"/>
      <c r="J356" s="15"/>
      <c r="K356" s="15"/>
      <c r="L356" s="35"/>
      <c r="M356" s="14"/>
    </row>
    <row r="357" spans="1:13">
      <c r="A357" s="26"/>
      <c r="B357" s="34"/>
      <c r="C357" s="11"/>
      <c r="D357" s="14"/>
      <c r="E357" s="15"/>
      <c r="F357" s="13"/>
      <c r="G357" s="14"/>
      <c r="H357" s="15"/>
      <c r="I357" s="15"/>
      <c r="J357" s="15"/>
      <c r="K357" s="15"/>
      <c r="L357" s="35"/>
      <c r="M357" s="14"/>
    </row>
    <row r="358" spans="1:13">
      <c r="A358" s="26"/>
      <c r="B358" s="34"/>
      <c r="C358" s="11"/>
      <c r="D358" s="14"/>
      <c r="E358" s="15"/>
      <c r="F358" s="13"/>
      <c r="G358" s="14"/>
      <c r="H358" s="15"/>
      <c r="I358" s="15"/>
      <c r="J358" s="15"/>
      <c r="K358" s="15"/>
      <c r="L358" s="35"/>
      <c r="M358" s="14"/>
    </row>
    <row r="359" spans="1:13">
      <c r="A359" s="26"/>
      <c r="B359" s="34"/>
      <c r="C359" s="11"/>
      <c r="D359" s="14"/>
      <c r="E359" s="15"/>
      <c r="F359" s="13"/>
      <c r="G359" s="14"/>
      <c r="H359" s="15"/>
      <c r="I359" s="15"/>
      <c r="J359" s="15"/>
      <c r="K359" s="15"/>
      <c r="L359" s="35"/>
      <c r="M359" s="14"/>
    </row>
    <row r="360" spans="1:13">
      <c r="A360" s="26"/>
      <c r="B360" s="34"/>
      <c r="C360" s="11"/>
      <c r="D360" s="14"/>
      <c r="E360" s="15"/>
      <c r="F360" s="13"/>
      <c r="G360" s="14"/>
      <c r="H360" s="15"/>
      <c r="I360" s="15"/>
      <c r="J360" s="15"/>
      <c r="K360" s="15"/>
      <c r="L360" s="35"/>
      <c r="M360" s="14"/>
    </row>
    <row r="361" spans="1:13">
      <c r="A361" s="26"/>
      <c r="B361" s="34"/>
      <c r="C361" s="11"/>
      <c r="D361" s="14"/>
      <c r="E361" s="15"/>
      <c r="F361" s="13"/>
      <c r="G361" s="14"/>
      <c r="H361" s="15"/>
      <c r="I361" s="15"/>
      <c r="J361" s="15"/>
      <c r="K361" s="15"/>
      <c r="L361" s="35"/>
      <c r="M361" s="14"/>
    </row>
    <row r="362" spans="1:13">
      <c r="A362" s="26"/>
      <c r="B362" s="34"/>
      <c r="C362" s="11"/>
      <c r="D362" s="14"/>
      <c r="E362" s="15"/>
      <c r="F362" s="13"/>
      <c r="G362" s="14"/>
      <c r="H362" s="15"/>
      <c r="I362" s="15"/>
      <c r="J362" s="15"/>
      <c r="K362" s="15"/>
      <c r="L362" s="35"/>
      <c r="M362" s="14"/>
    </row>
    <row r="363" spans="1:13">
      <c r="A363" s="26"/>
      <c r="B363" s="34"/>
      <c r="C363" s="11"/>
      <c r="D363" s="14"/>
      <c r="E363" s="15"/>
      <c r="F363" s="13"/>
      <c r="G363" s="14"/>
      <c r="H363" s="15"/>
      <c r="I363" s="15"/>
      <c r="J363" s="15"/>
      <c r="K363" s="15"/>
      <c r="L363" s="35"/>
      <c r="M363" s="14"/>
    </row>
    <row r="364" spans="1:13">
      <c r="A364" s="26"/>
      <c r="B364" s="34"/>
      <c r="C364" s="11"/>
      <c r="D364" s="14"/>
      <c r="E364" s="15"/>
      <c r="F364" s="13"/>
      <c r="G364" s="14"/>
      <c r="H364" s="15"/>
      <c r="I364" s="15"/>
      <c r="J364" s="15"/>
      <c r="K364" s="15"/>
      <c r="L364" s="35"/>
      <c r="M364" s="14"/>
    </row>
    <row r="365" spans="1:13">
      <c r="A365" s="26"/>
      <c r="B365" s="34"/>
      <c r="C365" s="11"/>
      <c r="D365" s="14"/>
      <c r="E365" s="15"/>
      <c r="F365" s="13"/>
      <c r="G365" s="14"/>
      <c r="H365" s="15"/>
      <c r="I365" s="15"/>
      <c r="J365" s="15"/>
      <c r="K365" s="15"/>
      <c r="L365" s="35"/>
      <c r="M365" s="14"/>
    </row>
    <row r="366" spans="1:13">
      <c r="A366" s="26"/>
      <c r="B366" s="34"/>
      <c r="C366" s="11"/>
      <c r="D366" s="14"/>
      <c r="E366" s="15"/>
      <c r="F366" s="13"/>
      <c r="G366" s="14"/>
      <c r="H366" s="15"/>
      <c r="I366" s="15"/>
      <c r="J366" s="15"/>
      <c r="K366" s="15"/>
      <c r="L366" s="35"/>
      <c r="M366" s="14"/>
    </row>
    <row r="367" spans="1:13">
      <c r="A367" s="26"/>
      <c r="B367" s="34"/>
      <c r="C367" s="11"/>
      <c r="D367" s="14"/>
      <c r="E367" s="15"/>
      <c r="F367" s="13"/>
      <c r="G367" s="14"/>
      <c r="H367" s="15"/>
      <c r="I367" s="15"/>
      <c r="J367" s="15"/>
      <c r="K367" s="15"/>
      <c r="L367" s="35"/>
      <c r="M367" s="14"/>
    </row>
    <row r="368" spans="1:13">
      <c r="A368" s="26"/>
      <c r="B368" s="34"/>
      <c r="C368" s="11"/>
      <c r="D368" s="14"/>
      <c r="E368" s="15"/>
      <c r="F368" s="13"/>
      <c r="G368" s="14"/>
      <c r="H368" s="15"/>
      <c r="I368" s="15"/>
      <c r="J368" s="15"/>
      <c r="K368" s="15"/>
      <c r="L368" s="35"/>
      <c r="M368" s="14"/>
    </row>
    <row r="369" spans="1:13">
      <c r="A369" s="26"/>
      <c r="B369" s="34"/>
      <c r="C369" s="11"/>
      <c r="D369" s="14"/>
      <c r="E369" s="15"/>
      <c r="F369" s="13"/>
      <c r="G369" s="14"/>
      <c r="H369" s="15"/>
      <c r="I369" s="15"/>
      <c r="J369" s="15"/>
      <c r="K369" s="15"/>
      <c r="L369" s="35"/>
      <c r="M369" s="14"/>
    </row>
    <row r="370" spans="1:13">
      <c r="A370" s="26"/>
      <c r="B370" s="34"/>
      <c r="C370" s="11"/>
      <c r="D370" s="14"/>
      <c r="E370" s="15"/>
      <c r="F370" s="13"/>
      <c r="G370" s="14"/>
      <c r="H370" s="15"/>
      <c r="I370" s="15"/>
      <c r="J370" s="15"/>
      <c r="K370" s="15"/>
      <c r="L370" s="35"/>
      <c r="M370" s="14"/>
    </row>
    <row r="371" spans="1:13">
      <c r="A371" s="26"/>
      <c r="B371" s="34"/>
      <c r="C371" s="11"/>
      <c r="D371" s="14"/>
      <c r="E371" s="15"/>
      <c r="F371" s="13"/>
      <c r="G371" s="14"/>
      <c r="H371" s="15"/>
      <c r="I371" s="15"/>
      <c r="J371" s="15"/>
      <c r="K371" s="15"/>
      <c r="L371" s="35"/>
      <c r="M371" s="14"/>
    </row>
    <row r="372" spans="1:13">
      <c r="A372" s="26"/>
      <c r="B372" s="34"/>
      <c r="C372" s="11"/>
      <c r="D372" s="14"/>
      <c r="E372" s="15"/>
      <c r="F372" s="13"/>
      <c r="G372" s="14"/>
      <c r="H372" s="15"/>
      <c r="I372" s="15"/>
      <c r="J372" s="15"/>
      <c r="K372" s="15"/>
      <c r="L372" s="35"/>
      <c r="M372" s="14"/>
    </row>
    <row r="373" spans="1:13">
      <c r="A373" s="26"/>
      <c r="B373" s="34"/>
      <c r="C373" s="11"/>
      <c r="D373" s="14"/>
      <c r="E373" s="15"/>
      <c r="F373" s="13"/>
      <c r="G373" s="14"/>
      <c r="H373" s="15"/>
      <c r="I373" s="15"/>
      <c r="J373" s="15"/>
      <c r="K373" s="15"/>
      <c r="L373" s="35"/>
      <c r="M373" s="14"/>
    </row>
    <row r="374" spans="1:13">
      <c r="A374" s="26"/>
      <c r="B374" s="34"/>
      <c r="C374" s="11"/>
      <c r="D374" s="14"/>
      <c r="E374" s="15"/>
      <c r="F374" s="13"/>
      <c r="G374" s="14"/>
      <c r="H374" s="15"/>
      <c r="I374" s="15"/>
      <c r="J374" s="15"/>
      <c r="K374" s="15"/>
      <c r="L374" s="35"/>
      <c r="M374" s="14"/>
    </row>
    <row r="375" spans="1:13">
      <c r="A375" s="26"/>
      <c r="B375" s="34"/>
      <c r="C375" s="11"/>
      <c r="D375" s="14"/>
      <c r="E375" s="15"/>
      <c r="F375" s="13"/>
      <c r="G375" s="14"/>
      <c r="H375" s="15"/>
      <c r="I375" s="15"/>
      <c r="J375" s="15"/>
      <c r="K375" s="15"/>
      <c r="L375" s="35"/>
      <c r="M375" s="14"/>
    </row>
    <row r="376" spans="1:13">
      <c r="A376" s="26"/>
      <c r="B376" s="34"/>
      <c r="C376" s="11"/>
      <c r="D376" s="14"/>
      <c r="E376" s="15"/>
      <c r="F376" s="13"/>
      <c r="G376" s="14"/>
      <c r="H376" s="15"/>
      <c r="I376" s="15"/>
      <c r="J376" s="15"/>
      <c r="K376" s="15"/>
      <c r="L376" s="35"/>
      <c r="M376" s="14"/>
    </row>
    <row r="377" spans="1:13">
      <c r="A377" s="26"/>
      <c r="B377" s="34"/>
      <c r="C377" s="11"/>
      <c r="D377" s="14"/>
      <c r="E377" s="15"/>
      <c r="F377" s="13"/>
      <c r="G377" s="14"/>
      <c r="H377" s="15"/>
      <c r="I377" s="15"/>
      <c r="J377" s="15"/>
      <c r="K377" s="15"/>
      <c r="L377" s="35"/>
      <c r="M377" s="14"/>
    </row>
    <row r="378" spans="1:13">
      <c r="A378" s="26"/>
      <c r="B378" s="34"/>
      <c r="C378" s="11"/>
      <c r="D378" s="14"/>
      <c r="E378" s="15"/>
      <c r="F378" s="13"/>
      <c r="G378" s="14"/>
      <c r="H378" s="15"/>
      <c r="I378" s="15"/>
      <c r="J378" s="15"/>
      <c r="K378" s="15"/>
      <c r="L378" s="35"/>
      <c r="M378" s="14"/>
    </row>
    <row r="379" spans="1:13">
      <c r="A379" s="26"/>
      <c r="B379" s="34"/>
      <c r="C379" s="11"/>
      <c r="D379" s="14"/>
      <c r="E379" s="15"/>
      <c r="F379" s="13"/>
      <c r="G379" s="14"/>
      <c r="H379" s="15"/>
      <c r="I379" s="15"/>
      <c r="J379" s="15"/>
      <c r="K379" s="15"/>
      <c r="L379" s="35"/>
      <c r="M379" s="14"/>
    </row>
    <row r="380" spans="1:13">
      <c r="A380" s="26"/>
      <c r="B380" s="34"/>
      <c r="C380" s="11"/>
      <c r="D380" s="14"/>
      <c r="E380" s="15"/>
      <c r="F380" s="13"/>
      <c r="G380" s="14"/>
      <c r="H380" s="15"/>
      <c r="I380" s="15"/>
      <c r="J380" s="15"/>
      <c r="K380" s="15"/>
      <c r="L380" s="35"/>
      <c r="M380" s="14"/>
    </row>
    <row r="381" spans="1:13">
      <c r="A381" s="26"/>
      <c r="B381" s="34"/>
      <c r="C381" s="11"/>
      <c r="D381" s="14"/>
      <c r="E381" s="15"/>
      <c r="F381" s="13"/>
      <c r="G381" s="14"/>
      <c r="H381" s="15"/>
      <c r="I381" s="15"/>
      <c r="J381" s="15"/>
      <c r="K381" s="15"/>
      <c r="L381" s="35"/>
      <c r="M381" s="14"/>
    </row>
    <row r="382" spans="1:13">
      <c r="A382" s="26"/>
      <c r="B382" s="34"/>
      <c r="C382" s="11"/>
      <c r="D382" s="14"/>
      <c r="E382" s="15"/>
      <c r="F382" s="13"/>
      <c r="G382" s="14"/>
      <c r="H382" s="15"/>
      <c r="I382" s="15"/>
      <c r="J382" s="15"/>
      <c r="K382" s="15"/>
      <c r="L382" s="35"/>
      <c r="M382" s="14"/>
    </row>
    <row r="383" spans="1:13">
      <c r="A383" s="26"/>
      <c r="B383" s="34"/>
      <c r="C383" s="11"/>
      <c r="D383" s="14"/>
      <c r="E383" s="15"/>
      <c r="F383" s="13"/>
      <c r="G383" s="14"/>
      <c r="H383" s="15"/>
      <c r="I383" s="15"/>
      <c r="J383" s="15"/>
      <c r="K383" s="15"/>
      <c r="L383" s="35"/>
      <c r="M383" s="14"/>
    </row>
    <row r="384" spans="1:13">
      <c r="A384" s="26"/>
      <c r="B384" s="34"/>
      <c r="C384" s="11"/>
      <c r="D384" s="14"/>
      <c r="E384" s="15"/>
      <c r="F384" s="13"/>
      <c r="G384" s="14"/>
      <c r="H384" s="15"/>
      <c r="I384" s="15"/>
      <c r="J384" s="15"/>
      <c r="K384" s="15"/>
      <c r="L384" s="35"/>
      <c r="M384" s="14"/>
    </row>
    <row r="385" spans="1:13">
      <c r="A385" s="26"/>
      <c r="B385" s="34"/>
      <c r="C385" s="11"/>
      <c r="D385" s="14"/>
      <c r="E385" s="15"/>
      <c r="F385" s="13"/>
      <c r="G385" s="14"/>
      <c r="H385" s="15"/>
      <c r="I385" s="15"/>
      <c r="J385" s="15"/>
      <c r="K385" s="15"/>
      <c r="L385" s="35"/>
      <c r="M385" s="14"/>
    </row>
    <row r="386" spans="1:13">
      <c r="A386" s="26"/>
      <c r="B386" s="34"/>
      <c r="C386" s="11"/>
      <c r="D386" s="14"/>
      <c r="E386" s="15"/>
      <c r="F386" s="13"/>
      <c r="G386" s="14"/>
      <c r="H386" s="15"/>
      <c r="I386" s="15"/>
      <c r="J386" s="15"/>
      <c r="K386" s="15"/>
      <c r="L386" s="35"/>
      <c r="M386" s="14"/>
    </row>
    <row r="387" spans="1:13">
      <c r="A387" s="26"/>
      <c r="B387" s="34"/>
      <c r="C387" s="11"/>
      <c r="D387" s="14"/>
      <c r="E387" s="15"/>
      <c r="F387" s="13"/>
      <c r="G387" s="14"/>
      <c r="H387" s="15"/>
      <c r="I387" s="15"/>
      <c r="J387" s="15"/>
      <c r="K387" s="15"/>
      <c r="L387" s="35"/>
      <c r="M387" s="14"/>
    </row>
    <row r="388" spans="1:13">
      <c r="A388" s="26"/>
      <c r="B388" s="34"/>
      <c r="C388" s="11"/>
      <c r="D388" s="14"/>
      <c r="E388" s="15"/>
      <c r="F388" s="13"/>
      <c r="G388" s="14"/>
      <c r="H388" s="15"/>
      <c r="I388" s="15"/>
      <c r="J388" s="15"/>
      <c r="K388" s="15"/>
      <c r="L388" s="35"/>
      <c r="M388" s="14"/>
    </row>
    <row r="389" spans="1:13">
      <c r="A389" s="26"/>
      <c r="B389" s="34"/>
      <c r="C389" s="11"/>
      <c r="D389" s="14"/>
      <c r="E389" s="15"/>
      <c r="F389" s="13"/>
      <c r="G389" s="14"/>
      <c r="H389" s="15"/>
      <c r="I389" s="15"/>
      <c r="J389" s="15"/>
      <c r="K389" s="15"/>
      <c r="L389" s="35"/>
      <c r="M389" s="14"/>
    </row>
    <row r="390" spans="1:13">
      <c r="A390" s="26"/>
      <c r="B390" s="34"/>
      <c r="C390" s="11"/>
      <c r="D390" s="14"/>
      <c r="E390" s="15"/>
      <c r="F390" s="13"/>
      <c r="G390" s="14"/>
      <c r="H390" s="15"/>
      <c r="I390" s="15"/>
      <c r="J390" s="15"/>
      <c r="K390" s="15"/>
      <c r="L390" s="35"/>
      <c r="M390" s="14"/>
    </row>
    <row r="391" spans="1:13">
      <c r="A391" s="26"/>
      <c r="B391" s="34"/>
      <c r="C391" s="11"/>
      <c r="D391" s="14"/>
      <c r="E391" s="15"/>
      <c r="F391" s="13"/>
      <c r="G391" s="14"/>
      <c r="H391" s="15"/>
      <c r="I391" s="15"/>
      <c r="J391" s="15"/>
      <c r="K391" s="15"/>
      <c r="L391" s="35"/>
      <c r="M391" s="14"/>
    </row>
    <row r="392" spans="1:13">
      <c r="A392" s="26"/>
      <c r="B392" s="34"/>
      <c r="C392" s="11"/>
      <c r="D392" s="14"/>
      <c r="E392" s="15"/>
      <c r="F392" s="13"/>
      <c r="G392" s="14"/>
      <c r="H392" s="15"/>
      <c r="I392" s="15"/>
      <c r="J392" s="15"/>
      <c r="K392" s="15"/>
      <c r="L392" s="35"/>
      <c r="M392" s="14"/>
    </row>
    <row r="393" spans="1:13">
      <c r="A393" s="26"/>
      <c r="B393" s="34"/>
      <c r="C393" s="11"/>
      <c r="D393" s="14"/>
      <c r="E393" s="15"/>
      <c r="F393" s="13"/>
      <c r="G393" s="14"/>
      <c r="H393" s="15"/>
      <c r="I393" s="15"/>
      <c r="J393" s="15"/>
      <c r="K393" s="15"/>
      <c r="L393" s="35"/>
      <c r="M393" s="14"/>
    </row>
    <row r="394" spans="1:13">
      <c r="A394" s="26"/>
      <c r="B394" s="34"/>
      <c r="C394" s="11"/>
      <c r="D394" s="14"/>
      <c r="E394" s="15"/>
      <c r="F394" s="13"/>
      <c r="G394" s="14"/>
      <c r="H394" s="15"/>
      <c r="I394" s="15"/>
      <c r="J394" s="15"/>
      <c r="K394" s="15"/>
      <c r="L394" s="35"/>
      <c r="M394" s="14"/>
    </row>
    <row r="395" spans="1:13">
      <c r="A395" s="26"/>
      <c r="B395" s="34"/>
      <c r="C395" s="11"/>
      <c r="D395" s="14"/>
      <c r="E395" s="15"/>
      <c r="F395" s="13"/>
      <c r="G395" s="14"/>
      <c r="H395" s="15"/>
      <c r="I395" s="15"/>
      <c r="J395" s="15"/>
      <c r="K395" s="15"/>
      <c r="L395" s="35"/>
      <c r="M395" s="14"/>
    </row>
    <row r="396" spans="1:13">
      <c r="A396" s="26"/>
      <c r="B396" s="34"/>
      <c r="C396" s="11"/>
      <c r="D396" s="14"/>
      <c r="E396" s="15"/>
      <c r="F396" s="13"/>
      <c r="G396" s="14"/>
      <c r="H396" s="15"/>
      <c r="I396" s="15"/>
      <c r="J396" s="15"/>
      <c r="K396" s="15"/>
      <c r="L396" s="35"/>
      <c r="M396" s="14"/>
    </row>
  </sheetData>
  <phoneticPr fontId="2" type="noConversion"/>
  <conditionalFormatting sqref="D21:M396">
    <cfRule type="expression" dxfId="0" priority="1" stopIfTrue="1">
      <formula>$E1&lt;0.294</formula>
    </cfRule>
  </conditionalFormatting>
  <pageMargins left="0.75" right="0.75" top="1" bottom="1" header="0.5" footer="0.5"/>
  <pageSetup scale="74" orientation="portrait" horizontalDpi="4294967292"/>
  <headerFooter alignWithMargins="0">
    <oddFooter>&amp;L&amp;F:[&amp;A]&amp;R&amp;P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Saturated Water</vt:lpstr>
      <vt:lpstr>Brine Properties</vt:lpstr>
      <vt:lpstr>Sheet1</vt:lpstr>
      <vt:lpstr>Turbine Calcs</vt:lpstr>
      <vt:lpstr>Turbine Calcs (2)</vt:lpstr>
      <vt:lpstr>Sheet3</vt:lpstr>
      <vt:lpstr>Sheet4</vt:lpstr>
      <vt:lpstr>Sheet2</vt:lpstr>
      <vt:lpstr>VaryFire</vt:lpstr>
      <vt:lpstr>Superheated Steam</vt:lpstr>
      <vt:lpstr>General Properties</vt:lpstr>
      <vt:lpstr>Chart1</vt:lpstr>
    </vt:vector>
  </TitlesOfParts>
  <Company>KemeX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Thermodynamic and Transport Properties of Water and Steam</dc:title>
  <dc:creator>Kevin Dorma</dc:creator>
  <cp:lastModifiedBy>Kevin Dorma</cp:lastModifiedBy>
  <cp:lastPrinted>2006-04-18T15:03:38Z</cp:lastPrinted>
  <dcterms:created xsi:type="dcterms:W3CDTF">2003-06-12T19:54:59Z</dcterms:created>
  <dcterms:modified xsi:type="dcterms:W3CDTF">2020-07-18T00:57:11Z</dcterms:modified>
</cp:coreProperties>
</file>