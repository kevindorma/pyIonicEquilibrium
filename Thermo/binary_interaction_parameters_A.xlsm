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225" yWindow="-120" windowWidth="11535" windowHeight="11640"/>
  </bookViews>
  <sheets>
    <sheet name="Cover" sheetId="15" r:id="rId1"/>
    <sheet name="Tables" sheetId="17" r:id="rId2"/>
    <sheet name="Samplekij_calculation" sheetId="18" r:id="rId3"/>
    <sheet name="Kij Solvent(s)" sheetId="16" r:id="rId4"/>
  </sheets>
  <functionGroups builtInGroupCount="17"/>
  <externalReferences>
    <externalReference r:id="rId5"/>
  </externalReferences>
  <definedNames>
    <definedName name="_Fill" localSheetId="0" hidden="1">[1]Data!#REF!</definedName>
    <definedName name="_Fill" localSheetId="3" hidden="1">[1]Data!#REF!</definedName>
    <definedName name="_Fill" localSheetId="2" hidden="1">[1]Data!#REF!</definedName>
    <definedName name="_Fill" hidden="1">[1]Data!#REF!</definedName>
    <definedName name="_Table1_In1" localSheetId="3" hidden="1">[1]Data!#REF!</definedName>
    <definedName name="_Table1_In1" localSheetId="2" hidden="1">[1]Data!#REF!</definedName>
    <definedName name="_Table1_In1" hidden="1">[1]Data!#REF!</definedName>
    <definedName name="_Table1_Out" localSheetId="3" hidden="1">[1]Data!#REF!</definedName>
    <definedName name="_Table1_Out" localSheetId="2" hidden="1">[1]Data!#REF!</definedName>
    <definedName name="_Table1_Out" hidden="1">[1]Data!#REF!</definedName>
    <definedName name="ComponentList">Tables!$D$4:$D$55</definedName>
    <definedName name="ComponentTable">Tables!$D$4:$F$55</definedName>
    <definedName name="k1_table">Tables!$J$4:$O$8</definedName>
    <definedName name="k2_table">Tables!$J$16:$O$20</definedName>
    <definedName name="Liquid_Vol_Flow" localSheetId="3">#REF!</definedName>
    <definedName name="Liquid_Vol_Flow" localSheetId="2">#REF!</definedName>
    <definedName name="Liquid_Vol_Flow">#REF!</definedName>
    <definedName name="LumpList">Tables!$A$4:$A$11</definedName>
    <definedName name="_xlnm.Print_Area" localSheetId="0">Cover!$A$1:$N$79</definedName>
    <definedName name="_xlnm.Print_Area" localSheetId="3">'Kij Solvent(s)'!$A$1:$X$55</definedName>
    <definedName name="_xlnm.Print_Area" localSheetId="2">Samplekij_calculation!$A$1:$O$73</definedName>
  </definedNames>
  <calcPr calcId="145621"/>
</workbook>
</file>

<file path=xl/calcChain.xml><?xml version="1.0" encoding="utf-8"?>
<calcChain xmlns="http://schemas.openxmlformats.org/spreadsheetml/2006/main">
  <c r="K19" i="17" l="1" a="1"/>
  <c r="M20" i="17" s="1"/>
  <c r="N20" i="17"/>
  <c r="K7" i="17" a="1"/>
  <c r="K7" i="17" s="1"/>
  <c r="N8" i="17"/>
  <c r="K19" i="17" l="1"/>
  <c r="M19" i="17"/>
  <c r="L20" i="17"/>
  <c r="L19" i="17"/>
  <c r="K20" i="17"/>
  <c r="M8" i="17"/>
  <c r="K8" i="17"/>
  <c r="L7" i="17"/>
  <c r="L8" i="17"/>
  <c r="M7" i="17"/>
  <c r="E16" i="18"/>
  <c r="F16" i="18" s="1"/>
  <c r="D21" i="18" s="1"/>
  <c r="D22" i="18" s="1"/>
  <c r="E15" i="18"/>
  <c r="J13" i="18"/>
  <c r="G16" i="18" l="1"/>
  <c r="H16" i="18" s="1"/>
  <c r="G15" i="18" l="1"/>
  <c r="H15" i="18" s="1"/>
  <c r="F18" i="18" s="1"/>
  <c r="F15" i="18"/>
  <c r="C21" i="18" s="1"/>
  <c r="C22" i="18" s="1"/>
  <c r="L4" i="18"/>
  <c r="L2" i="18"/>
  <c r="F22" i="18" l="1"/>
  <c r="F21" i="18"/>
  <c r="P2" i="16"/>
  <c r="P4" i="16"/>
  <c r="F24" i="18" l="1"/>
  <c r="E15" i="16" s="1"/>
  <c r="E20" i="16" s="1"/>
</calcChain>
</file>

<file path=xl/sharedStrings.xml><?xml version="1.0" encoding="utf-8"?>
<sst xmlns="http://schemas.openxmlformats.org/spreadsheetml/2006/main" count="301" uniqueCount="147">
  <si>
    <t>ORIGINATOR:</t>
  </si>
  <si>
    <t>PROJECT:</t>
  </si>
  <si>
    <t>REV</t>
  </si>
  <si>
    <t>DATE</t>
  </si>
  <si>
    <t>DESIGN CRITERIA</t>
  </si>
  <si>
    <t>SOFTWARE USED (Title and Version)</t>
  </si>
  <si>
    <t>ASSUMPTIONS AND LIMITATIONS</t>
  </si>
  <si>
    <t>REFERENCES</t>
  </si>
  <si>
    <t>CALCULATION RECORD</t>
  </si>
  <si>
    <t>CHECKER:</t>
  </si>
  <si>
    <t>SUBJECT:</t>
  </si>
  <si>
    <t>DISCIPLINE:</t>
  </si>
  <si>
    <t>ELECTRONIC FILE LOCATION:</t>
  </si>
  <si>
    <t>PURPOSE OF CALCULATIONS</t>
  </si>
  <si>
    <t xml:space="preserve">PAGE: </t>
  </si>
  <si>
    <t>OF</t>
  </si>
  <si>
    <r>
      <t xml:space="preserve">Engineering Calculation 
</t>
    </r>
    <r>
      <rPr>
        <b/>
        <sz val="12"/>
        <rFont val="Arial Black"/>
        <family val="2"/>
      </rPr>
      <t>Cover Sheet</t>
    </r>
  </si>
  <si>
    <t>CLIENT:</t>
  </si>
  <si>
    <t>JOB No.</t>
  </si>
  <si>
    <t>CALC No.</t>
  </si>
  <si>
    <t xml:space="preserve">CLIENT'S CAL NO: </t>
  </si>
  <si>
    <t xml:space="preserve"> The electronic form of this document on the POP Index is the latest version. Printed copies are uncontrolled and may not be the latest revision</t>
  </si>
  <si>
    <t>POP-00-3003-004-F, Rev.2</t>
  </si>
  <si>
    <t>By</t>
  </si>
  <si>
    <t>Checked</t>
  </si>
  <si>
    <t>Approved</t>
  </si>
  <si>
    <t>REVISION HISTORY</t>
  </si>
  <si>
    <t>Nss</t>
  </si>
  <si>
    <t>RPM</t>
  </si>
  <si>
    <t>#stag</t>
  </si>
  <si>
    <t>1</t>
  </si>
  <si>
    <t>Malt_ABP[285]C</t>
  </si>
  <si>
    <t>Malt_ABP[323]C</t>
  </si>
  <si>
    <t>Malt_ABP[359]C</t>
  </si>
  <si>
    <t>Malt_ABP[395]C</t>
  </si>
  <si>
    <t>Malt_ABP[432]C</t>
  </si>
  <si>
    <t>Malt_ABP[456]C</t>
  </si>
  <si>
    <t>Malt_ABP[469]C</t>
  </si>
  <si>
    <t>Malt_ABP[482]C</t>
  </si>
  <si>
    <t>Malt_ABP[493]C</t>
  </si>
  <si>
    <t>Malt_ABP[525]C</t>
  </si>
  <si>
    <t>Malt_ABP[574]C</t>
  </si>
  <si>
    <t>Malt_ABP[618]C</t>
  </si>
  <si>
    <t>Asph_1</t>
  </si>
  <si>
    <t>Asph_2</t>
  </si>
  <si>
    <t>Asph_3</t>
  </si>
  <si>
    <t>Asph_4</t>
  </si>
  <si>
    <t>Asph_5</t>
  </si>
  <si>
    <t>Asph_6</t>
  </si>
  <si>
    <t>Temperature [°C]</t>
  </si>
  <si>
    <t>Process</t>
  </si>
  <si>
    <t>- Athabasca bitumen Feed</t>
  </si>
  <si>
    <r>
      <t>- The data used to adjust the binary interaction parameter (Reference 1) corresponds to binary mixes of Peace Rive Bitumen with: 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, Methane, Ethane, Propane and n-Pentane, and Athabasca Bitumen with Propane</t>
    </r>
  </si>
  <si>
    <t>- It is assumed that all maltenes and asphaltenes will have similar interaction parameter adjustable constants than those found by the authors in Reference 1.</t>
  </si>
  <si>
    <r>
      <t>- It is assumed that hydrocarbon solvents with a carbon chain higher than n-pentane will have the same interaction parameter adjustable constants than those found for n-C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>.</t>
    </r>
  </si>
  <si>
    <t>- Maltenes/Asphaltenes pseudocomponents were generated separately, and combined in a single stream to characterize the bitumen according to Reference 2.</t>
  </si>
  <si>
    <t>CALCULATION BASIS</t>
  </si>
  <si>
    <t>- The author studied the deviation existing between the experimental saturation pressure and asphaltene precipitation onset, and the values predicted by a process simulation software (VMGsim 6.0).</t>
  </si>
  <si>
    <t>- The binary interaction parameters (kij) for each pseudo component/solvent, and pseudo-component/pseudo-component were adjusted according to the following equation (Ref. 1) :</t>
  </si>
  <si>
    <t>and</t>
  </si>
  <si>
    <r>
      <t xml:space="preserve"> Where k</t>
    </r>
    <r>
      <rPr>
        <vertAlign val="subscript"/>
        <sz val="10"/>
        <rFont val="Arial"/>
        <family val="2"/>
      </rPr>
      <t>ij</t>
    </r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>, k</t>
    </r>
    <r>
      <rPr>
        <vertAlign val="subscript"/>
        <sz val="10"/>
        <rFont val="Arial"/>
        <family val="2"/>
      </rPr>
      <t>ij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and n are constants. Temperature is given in Kelvin.</t>
    </r>
  </si>
  <si>
    <t>2) Díaz, O. Castellanos, et al. "Modeling the phase behavior of heavy oil and solvent mixtures." Fluid Phase Equilibria 304.1 (2011): 74-85.</t>
  </si>
  <si>
    <t>-Microsoft Excel 2007 -  Ausenco's Binary interaction parameters estimating spreadsheet tool</t>
  </si>
  <si>
    <t>- Aspen HYSYS V-7.3</t>
  </si>
  <si>
    <t>A</t>
  </si>
  <si>
    <t>Issued for Review</t>
  </si>
  <si>
    <t>KCD</t>
  </si>
  <si>
    <t>- Interaction Parameters calculated only for pseudo-component/pseudo-component and solvent(s)/pseudo-components ( no solvent/solvent or other elements)</t>
  </si>
  <si>
    <t xml:space="preserve">- It is assumed that little deviations will exist when using different process simulation software (i.e. Aspen HYSYS vs. VMGsim). </t>
  </si>
  <si>
    <t>- Agrawal et al. (Ref. 1) studied the phase behaviour of solvent diluted bitumen. Using experimental PVT data obtained from both from open literature and in-house.</t>
  </si>
  <si>
    <r>
      <t xml:space="preserve"> - Fixing n (n=0.27) the values of k</t>
    </r>
    <r>
      <rPr>
        <vertAlign val="subscript"/>
        <sz val="10"/>
        <rFont val="Arial"/>
        <family val="2"/>
      </rPr>
      <t>ij</t>
    </r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>, k</t>
    </r>
    <r>
      <rPr>
        <vertAlign val="subscript"/>
        <sz val="10"/>
        <rFont val="Arial"/>
        <family val="2"/>
      </rPr>
      <t>ij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that minimized the error compared to experimental data can be seen in the appended table</t>
    </r>
  </si>
  <si>
    <t xml:space="preserve">- Since there are more unknowns than equations, there is not an unique solution. </t>
  </si>
  <si>
    <t>Tables for calculations</t>
  </si>
  <si>
    <t>ComponentList</t>
  </si>
  <si>
    <t>LumpList</t>
  </si>
  <si>
    <t>CH4</t>
  </si>
  <si>
    <t>LightGas</t>
  </si>
  <si>
    <t>Paraffins</t>
  </si>
  <si>
    <t>Maltenes</t>
  </si>
  <si>
    <t>Asphaltenes</t>
  </si>
  <si>
    <t>CO2</t>
  </si>
  <si>
    <t>N2</t>
  </si>
  <si>
    <t>H2O</t>
  </si>
  <si>
    <t>ComponentTable</t>
  </si>
  <si>
    <t>Lump</t>
  </si>
  <si>
    <t>TcritC</t>
  </si>
  <si>
    <t>Component i</t>
  </si>
  <si>
    <t>component j</t>
  </si>
  <si>
    <t>interaction coeffs</t>
  </si>
  <si>
    <t>k1_table</t>
  </si>
  <si>
    <t>i</t>
  </si>
  <si>
    <t>j</t>
  </si>
  <si>
    <t>Only adjust the kij for maltene and asphaltene interactions</t>
  </si>
  <si>
    <t>k2_table</t>
  </si>
  <si>
    <t>TC</t>
  </si>
  <si>
    <t>TC_K</t>
  </si>
  <si>
    <t>n</t>
  </si>
  <si>
    <t>kij_0</t>
  </si>
  <si>
    <t>kij^1</t>
  </si>
  <si>
    <t>kij^2</t>
  </si>
  <si>
    <t>kij</t>
  </si>
  <si>
    <t>I component</t>
  </si>
  <si>
    <t>J component</t>
  </si>
  <si>
    <t>calculated kij</t>
  </si>
  <si>
    <t>K</t>
  </si>
  <si>
    <t>Data Table for calculating all interaction parameters</t>
  </si>
  <si>
    <t>Use the entire list of components for the left column and top row</t>
  </si>
  <si>
    <t>Kevin Dorma</t>
  </si>
  <si>
    <t>StatOil</t>
  </si>
  <si>
    <t>Light Diluent Study</t>
  </si>
  <si>
    <t>Binary interaction parameters</t>
  </si>
  <si>
    <t>August 18, 2016</t>
  </si>
  <si>
    <t>Only adjust the interaction parameters for bitumen species</t>
  </si>
  <si>
    <t>&lt;136118-010-CAL-001&gt;</t>
  </si>
  <si>
    <t>- To calculate binary interaction parameters for bitumen assay components and diluent species</t>
  </si>
  <si>
    <t>Reference</t>
  </si>
  <si>
    <t>lookup from k1_table</t>
  </si>
  <si>
    <t>lookup from k2_table</t>
  </si>
  <si>
    <t>H2S</t>
  </si>
  <si>
    <t>Ethane</t>
  </si>
  <si>
    <t>Propane</t>
  </si>
  <si>
    <t>iC4</t>
  </si>
  <si>
    <t>nC4</t>
  </si>
  <si>
    <t>iC5</t>
  </si>
  <si>
    <t>nC5</t>
  </si>
  <si>
    <t>nC6</t>
  </si>
  <si>
    <t>nC8</t>
  </si>
  <si>
    <t>nC7</t>
  </si>
  <si>
    <t>nC9</t>
  </si>
  <si>
    <t>nC10</t>
  </si>
  <si>
    <t>nC12</t>
  </si>
  <si>
    <t>nC13</t>
  </si>
  <si>
    <t>Benzene</t>
  </si>
  <si>
    <t>Toluene</t>
  </si>
  <si>
    <t>e-benzene</t>
  </si>
  <si>
    <t>m-xylene</t>
  </si>
  <si>
    <t>cyclopentane</t>
  </si>
  <si>
    <t>m-cyclopentane</t>
  </si>
  <si>
    <t>cyclohexane</t>
  </si>
  <si>
    <t>m-cyclohexane</t>
  </si>
  <si>
    <t>TEGlycol</t>
  </si>
  <si>
    <t>Methane</t>
  </si>
  <si>
    <t>nC11</t>
  </si>
  <si>
    <t>Binary interaction parameters tabulated for components at 135 C (representative FWKO temperature)</t>
  </si>
  <si>
    <t>124-m-benzene</t>
  </si>
  <si>
    <t xml:space="preserve">1) Agrawal, Pawan. "Measurement and Modeling of the Phase Behavior of Solvent Diluted Bitumens". MSc. Thesis, University of Calgary, 2012. 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</si>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</sst>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yyyy/mm/dd"/>
    <numFmt numFmtId="166" formatCode="0.0"/>
    <numFmt numFmtId="167" formatCode="0.0000"/>
    <numFmt numFmtId="168" formatCode="0.000"/>
  </numFmts>
  <fonts count="28" x14ac:knownFonts="1">
    <font>
      <sz val="10"/>
      <name val="Arial"/>
    </font>
    <font>
      <sz val="11"/>
      <color theme="1"/>
      <name val="Times New Roman"/>
      <family val="2"/>
    </font>
    <font>
      <sz val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i/>
      <sz val="8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7"/>
      <name val="Arial Narrow"/>
      <family val="2"/>
    </font>
    <font>
      <b/>
      <sz val="14"/>
      <name val="Arial Narrow"/>
      <family val="2"/>
    </font>
    <font>
      <sz val="9"/>
      <name val="Arial"/>
      <family val="2"/>
    </font>
    <font>
      <b/>
      <sz val="14"/>
      <name val="Arial Black"/>
      <family val="2"/>
    </font>
    <font>
      <b/>
      <sz val="12"/>
      <name val="Arial Black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 Narrow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0"/>
      <name val="Times New Roman"/>
      <family val="1"/>
    </font>
    <font>
      <b/>
      <sz val="10"/>
      <name val="Arial"/>
      <family val="2"/>
    </font>
    <font>
      <sz val="10"/>
      <color theme="1"/>
      <name val="Times New Roman"/>
      <family val="1"/>
    </font>
    <font>
      <b/>
      <i/>
      <sz val="10"/>
      <name val="Arial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18" fillId="0" borderId="0"/>
    <xf numFmtId="9" fontId="18" fillId="0" borderId="0" applyFont="0" applyFill="0" applyBorder="0" applyAlignment="0" applyProtection="0"/>
    <xf numFmtId="0" fontId="19" fillId="3" borderId="0" applyNumberFormat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247">
    <xf numFmtId="0" fontId="0" fillId="0" borderId="0" xfId="0"/>
    <xf numFmtId="0" fontId="0" fillId="0" borderId="1" xfId="0" applyBorder="1" applyProtection="1"/>
    <xf numFmtId="0" fontId="0" fillId="0" borderId="2" xfId="0" applyBorder="1" applyProtection="1"/>
    <xf numFmtId="0" fontId="0" fillId="0" borderId="0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4" fillId="0" borderId="0" xfId="0" applyFont="1" applyProtection="1"/>
    <xf numFmtId="164" fontId="5" fillId="0" borderId="0" xfId="0" applyNumberFormat="1" applyFont="1" applyBorder="1" applyAlignment="1" applyProtection="1">
      <alignment horizontal="right"/>
    </xf>
    <xf numFmtId="0" fontId="0" fillId="0" borderId="0" xfId="0" applyProtection="1"/>
    <xf numFmtId="0" fontId="8" fillId="0" borderId="0" xfId="0" applyFont="1" applyProtection="1"/>
    <xf numFmtId="0" fontId="0" fillId="0" borderId="5" xfId="0" applyBorder="1" applyProtection="1"/>
    <xf numFmtId="0" fontId="6" fillId="0" borderId="0" xfId="1" applyAlignment="1" applyProtection="1"/>
    <xf numFmtId="0" fontId="13" fillId="0" borderId="0" xfId="0" applyFont="1" applyBorder="1" applyProtection="1"/>
    <xf numFmtId="0" fontId="14" fillId="0" borderId="0" xfId="0" applyFont="1" applyFill="1" applyBorder="1" applyAlignment="1" applyProtection="1"/>
    <xf numFmtId="0" fontId="14" fillId="0" borderId="0" xfId="0" applyFont="1" applyBorder="1" applyAlignment="1" applyProtection="1"/>
    <xf numFmtId="0" fontId="7" fillId="0" borderId="0" xfId="0" applyFont="1" applyProtection="1"/>
    <xf numFmtId="0" fontId="0" fillId="0" borderId="10" xfId="0" applyBorder="1" applyProtection="1"/>
    <xf numFmtId="0" fontId="0" fillId="0" borderId="11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0" fillId="0" borderId="17" xfId="0" applyBorder="1" applyProtection="1"/>
    <xf numFmtId="0" fontId="16" fillId="0" borderId="0" xfId="0" applyFont="1" applyProtection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6" xfId="0" applyBorder="1"/>
    <xf numFmtId="0" fontId="13" fillId="0" borderId="16" xfId="0" applyFont="1" applyBorder="1" applyProtection="1"/>
    <xf numFmtId="0" fontId="14" fillId="0" borderId="16" xfId="0" applyFont="1" applyFill="1" applyBorder="1" applyAlignment="1" applyProtection="1"/>
    <xf numFmtId="0" fontId="14" fillId="0" borderId="16" xfId="0" applyFont="1" applyBorder="1" applyAlignment="1" applyProtection="1"/>
    <xf numFmtId="0" fontId="10" fillId="0" borderId="0" xfId="0" applyFont="1"/>
    <xf numFmtId="0" fontId="20" fillId="0" borderId="0" xfId="0" applyFont="1"/>
    <xf numFmtId="0" fontId="9" fillId="0" borderId="0" xfId="0" applyFont="1" applyBorder="1" applyAlignment="1" applyProtection="1">
      <alignment vertical="center" wrapText="1"/>
    </xf>
    <xf numFmtId="0" fontId="9" fillId="0" borderId="4" xfId="0" applyFont="1" applyBorder="1" applyAlignment="1" applyProtection="1">
      <alignment vertical="center" wrapText="1"/>
    </xf>
    <xf numFmtId="0" fontId="0" fillId="0" borderId="0" xfId="0" applyAlignment="1" applyProtection="1"/>
    <xf numFmtId="0" fontId="2" fillId="0" borderId="1" xfId="6" applyBorder="1" applyProtection="1"/>
    <xf numFmtId="0" fontId="2" fillId="0" borderId="2" xfId="6" applyBorder="1" applyProtection="1"/>
    <xf numFmtId="0" fontId="2" fillId="0" borderId="8" xfId="6" applyBorder="1" applyProtection="1"/>
    <xf numFmtId="0" fontId="2" fillId="0" borderId="0" xfId="6" applyProtection="1"/>
    <xf numFmtId="0" fontId="2" fillId="0" borderId="5" xfId="6" applyBorder="1" applyProtection="1"/>
    <xf numFmtId="0" fontId="2" fillId="0" borderId="0" xfId="6" applyBorder="1" applyProtection="1"/>
    <xf numFmtId="0" fontId="9" fillId="0" borderId="6" xfId="6" applyFont="1" applyBorder="1" applyAlignment="1" applyProtection="1">
      <alignment vertical="center" wrapText="1"/>
    </xf>
    <xf numFmtId="0" fontId="2" fillId="0" borderId="3" xfId="6" applyBorder="1" applyProtection="1"/>
    <xf numFmtId="0" fontId="2" fillId="0" borderId="4" xfId="6" applyBorder="1" applyProtection="1"/>
    <xf numFmtId="0" fontId="9" fillId="0" borderId="7" xfId="6" applyFont="1" applyBorder="1" applyAlignment="1" applyProtection="1">
      <alignment vertical="center" wrapText="1"/>
    </xf>
    <xf numFmtId="0" fontId="2" fillId="0" borderId="10" xfId="6" applyBorder="1" applyProtection="1"/>
    <xf numFmtId="0" fontId="2" fillId="0" borderId="11" xfId="6" applyBorder="1" applyProtection="1"/>
    <xf numFmtId="0" fontId="2" fillId="0" borderId="12" xfId="6" applyBorder="1" applyProtection="1"/>
    <xf numFmtId="0" fontId="2" fillId="0" borderId="13" xfId="6" applyBorder="1" applyProtection="1"/>
    <xf numFmtId="0" fontId="13" fillId="0" borderId="0" xfId="6" applyFont="1" applyBorder="1" applyProtection="1"/>
    <xf numFmtId="0" fontId="2" fillId="0" borderId="24" xfId="6" applyFont="1" applyFill="1" applyBorder="1" applyAlignment="1" applyProtection="1">
      <protection locked="0"/>
    </xf>
    <xf numFmtId="0" fontId="2" fillId="0" borderId="14" xfId="6" applyBorder="1" applyProtection="1"/>
    <xf numFmtId="0" fontId="10" fillId="0" borderId="0" xfId="6" applyFont="1" applyFill="1" applyBorder="1" applyAlignment="1" applyProtection="1"/>
    <xf numFmtId="0" fontId="10" fillId="0" borderId="0" xfId="6" applyFont="1" applyBorder="1" applyAlignment="1" applyProtection="1"/>
    <xf numFmtId="0" fontId="13" fillId="0" borderId="0" xfId="6" applyFont="1" applyBorder="1" applyAlignment="1" applyProtection="1">
      <alignment horizontal="right"/>
    </xf>
    <xf numFmtId="0" fontId="2" fillId="0" borderId="24" xfId="6" applyFont="1" applyFill="1" applyBorder="1" applyAlignment="1" applyProtection="1">
      <alignment horizontal="center"/>
      <protection locked="0"/>
    </xf>
    <xf numFmtId="0" fontId="10" fillId="0" borderId="0" xfId="6" applyFont="1" applyFill="1" applyBorder="1" applyAlignment="1" applyProtection="1">
      <alignment horizontal="center"/>
    </xf>
    <xf numFmtId="0" fontId="10" fillId="0" borderId="0" xfId="6" applyFont="1" applyFill="1" applyBorder="1" applyAlignment="1" applyProtection="1">
      <alignment horizontal="left"/>
    </xf>
    <xf numFmtId="0" fontId="13" fillId="0" borderId="0" xfId="6" applyFont="1" applyFill="1" applyBorder="1" applyAlignment="1" applyProtection="1">
      <alignment horizontal="right"/>
    </xf>
    <xf numFmtId="0" fontId="10" fillId="0" borderId="0" xfId="6" applyFont="1" applyBorder="1" applyProtection="1"/>
    <xf numFmtId="0" fontId="10" fillId="0" borderId="0" xfId="6" applyFont="1" applyFill="1" applyBorder="1" applyProtection="1"/>
    <xf numFmtId="0" fontId="2" fillId="0" borderId="15" xfId="6" applyBorder="1" applyProtection="1"/>
    <xf numFmtId="0" fontId="2" fillId="0" borderId="16" xfId="6" applyBorder="1" applyProtection="1"/>
    <xf numFmtId="0" fontId="2" fillId="0" borderId="17" xfId="6" applyBorder="1" applyProtection="1"/>
    <xf numFmtId="0" fontId="3" fillId="2" borderId="10" xfId="6" applyFont="1" applyFill="1" applyBorder="1" applyProtection="1"/>
    <xf numFmtId="0" fontId="3" fillId="2" borderId="11" xfId="6" applyFont="1" applyFill="1" applyBorder="1" applyProtection="1"/>
    <xf numFmtId="0" fontId="2" fillId="2" borderId="11" xfId="6" applyFont="1" applyFill="1" applyBorder="1" applyProtection="1"/>
    <xf numFmtId="0" fontId="2" fillId="2" borderId="12" xfId="6" applyFont="1" applyFill="1" applyBorder="1" applyProtection="1"/>
    <xf numFmtId="0" fontId="2" fillId="0" borderId="0" xfId="6" applyFont="1" applyProtection="1"/>
    <xf numFmtId="0" fontId="2" fillId="0" borderId="15" xfId="6" applyFont="1" applyFill="1" applyBorder="1" applyAlignment="1" applyProtection="1">
      <alignment vertical="top" wrapText="1"/>
      <protection locked="0"/>
    </xf>
    <xf numFmtId="0" fontId="2" fillId="0" borderId="16" xfId="6" applyFont="1" applyFill="1" applyBorder="1" applyAlignment="1" applyProtection="1">
      <alignment vertical="top" wrapText="1"/>
      <protection locked="0"/>
    </xf>
    <xf numFmtId="0" fontId="2" fillId="0" borderId="17" xfId="6" applyFont="1" applyFill="1" applyBorder="1" applyAlignment="1" applyProtection="1">
      <alignment vertical="top" wrapText="1"/>
      <protection locked="0"/>
    </xf>
    <xf numFmtId="0" fontId="2" fillId="0" borderId="13" xfId="6" quotePrefix="1" applyFont="1" applyFill="1" applyBorder="1" applyAlignment="1" applyProtection="1">
      <alignment horizontal="left" vertical="top" wrapText="1"/>
      <protection locked="0"/>
    </xf>
    <xf numFmtId="0" fontId="2" fillId="0" borderId="0" xfId="6" quotePrefix="1" applyFont="1" applyFill="1" applyBorder="1" applyAlignment="1" applyProtection="1">
      <alignment horizontal="left" vertical="top" wrapText="1"/>
      <protection locked="0"/>
    </xf>
    <xf numFmtId="0" fontId="2" fillId="0" borderId="14" xfId="6" quotePrefix="1" applyFont="1" applyFill="1" applyBorder="1" applyAlignment="1" applyProtection="1">
      <alignment horizontal="left" vertical="top" wrapText="1"/>
      <protection locked="0"/>
    </xf>
    <xf numFmtId="0" fontId="2" fillId="0" borderId="0" xfId="6" quotePrefix="1" applyFont="1" applyFill="1" applyBorder="1" applyAlignment="1" applyProtection="1">
      <alignment horizontal="center" vertical="top" wrapText="1"/>
      <protection locked="0"/>
    </xf>
    <xf numFmtId="0" fontId="2" fillId="0" borderId="13" xfId="6" quotePrefix="1" applyFont="1" applyFill="1" applyBorder="1" applyAlignment="1" applyProtection="1">
      <alignment horizontal="left" vertical="top"/>
      <protection locked="0"/>
    </xf>
    <xf numFmtId="0" fontId="23" fillId="0" borderId="0" xfId="6" quotePrefix="1" applyFont="1" applyFill="1" applyBorder="1" applyAlignment="1" applyProtection="1">
      <alignment horizontal="right" vertical="top" wrapText="1"/>
      <protection locked="0"/>
    </xf>
    <xf numFmtId="0" fontId="2" fillId="0" borderId="0" xfId="6" quotePrefix="1" applyFont="1" applyFill="1" applyBorder="1" applyAlignment="1" applyProtection="1">
      <alignment horizontal="left" vertical="top"/>
      <protection locked="0"/>
    </xf>
    <xf numFmtId="0" fontId="2" fillId="0" borderId="0" xfId="6" applyAlignment="1" applyProtection="1">
      <alignment horizontal="center"/>
    </xf>
    <xf numFmtId="0" fontId="2" fillId="0" borderId="0" xfId="6" quotePrefix="1" applyFont="1" applyFill="1" applyBorder="1" applyAlignment="1" applyProtection="1">
      <alignment vertical="top"/>
      <protection locked="0"/>
    </xf>
    <xf numFmtId="0" fontId="2" fillId="0" borderId="14" xfId="6" quotePrefix="1" applyFont="1" applyFill="1" applyBorder="1" applyAlignment="1" applyProtection="1">
      <alignment vertical="top"/>
      <protection locked="0"/>
    </xf>
    <xf numFmtId="0" fontId="2" fillId="0" borderId="0" xfId="6" quotePrefix="1" applyFont="1" applyFill="1" applyBorder="1" applyAlignment="1" applyProtection="1">
      <alignment vertical="top" wrapText="1"/>
      <protection locked="0"/>
    </xf>
    <xf numFmtId="0" fontId="2" fillId="0" borderId="14" xfId="6" quotePrefix="1" applyFont="1" applyFill="1" applyBorder="1" applyAlignment="1" applyProtection="1">
      <alignment vertical="top" wrapText="1"/>
      <protection locked="0"/>
    </xf>
    <xf numFmtId="0" fontId="2" fillId="0" borderId="40" xfId="6" applyBorder="1" applyProtection="1"/>
    <xf numFmtId="0" fontId="15" fillId="0" borderId="18" xfId="6" applyFont="1" applyFill="1" applyBorder="1" applyAlignment="1" applyProtection="1">
      <alignment horizontal="center"/>
      <protection locked="0"/>
    </xf>
    <xf numFmtId="49" fontId="15" fillId="0" borderId="18" xfId="6" applyNumberFormat="1" applyFont="1" applyFill="1" applyBorder="1" applyAlignment="1" applyProtection="1">
      <alignment horizontal="center"/>
      <protection locked="0"/>
    </xf>
    <xf numFmtId="49" fontId="15" fillId="0" borderId="19" xfId="6" applyNumberFormat="1" applyFont="1" applyFill="1" applyBorder="1" applyAlignment="1" applyProtection="1">
      <alignment horizontal="center"/>
      <protection locked="0"/>
    </xf>
    <xf numFmtId="49" fontId="15" fillId="0" borderId="20" xfId="6" applyNumberFormat="1" applyFont="1" applyFill="1" applyBorder="1" applyAlignment="1" applyProtection="1">
      <alignment horizontal="center"/>
      <protection locked="0"/>
    </xf>
    <xf numFmtId="0" fontId="15" fillId="0" borderId="9" xfId="6" applyFont="1" applyFill="1" applyBorder="1" applyAlignment="1" applyProtection="1">
      <alignment horizontal="center"/>
      <protection locked="0"/>
    </xf>
    <xf numFmtId="49" fontId="15" fillId="0" borderId="9" xfId="6" applyNumberFormat="1" applyFont="1" applyFill="1" applyBorder="1" applyAlignment="1" applyProtection="1">
      <alignment horizontal="center"/>
      <protection locked="0"/>
    </xf>
    <xf numFmtId="165" fontId="15" fillId="0" borderId="22" xfId="6" applyNumberFormat="1" applyFont="1" applyFill="1" applyBorder="1" applyAlignment="1" applyProtection="1">
      <protection locked="0"/>
    </xf>
    <xf numFmtId="165" fontId="15" fillId="0" borderId="23" xfId="6" applyNumberFormat="1" applyFont="1" applyFill="1" applyBorder="1" applyAlignment="1" applyProtection="1">
      <protection locked="0"/>
    </xf>
    <xf numFmtId="0" fontId="15" fillId="0" borderId="21" xfId="6" applyFont="1" applyFill="1" applyBorder="1" applyAlignment="1" applyProtection="1">
      <alignment horizontal="center"/>
      <protection locked="0"/>
    </xf>
    <xf numFmtId="49" fontId="15" fillId="0" borderId="21" xfId="6" applyNumberFormat="1" applyFont="1" applyFill="1" applyBorder="1" applyAlignment="1" applyProtection="1">
      <alignment horizontal="center"/>
      <protection locked="0"/>
    </xf>
    <xf numFmtId="165" fontId="2" fillId="0" borderId="25" xfId="6" applyNumberFormat="1" applyFont="1" applyFill="1" applyBorder="1" applyAlignment="1" applyProtection="1">
      <alignment horizontal="center"/>
      <protection locked="0"/>
    </xf>
    <xf numFmtId="49" fontId="2" fillId="0" borderId="25" xfId="6" applyNumberFormat="1" applyFont="1" applyFill="1" applyBorder="1" applyAlignment="1" applyProtection="1">
      <alignment horizontal="center"/>
      <protection locked="0"/>
    </xf>
    <xf numFmtId="0" fontId="3" fillId="2" borderId="9" xfId="6" applyFont="1" applyFill="1" applyBorder="1" applyAlignment="1" applyProtection="1">
      <alignment horizontal="center"/>
    </xf>
    <xf numFmtId="0" fontId="8" fillId="0" borderId="11" xfId="6" applyFont="1" applyBorder="1" applyAlignment="1" applyProtection="1"/>
    <xf numFmtId="164" fontId="5" fillId="0" borderId="0" xfId="6" applyNumberFormat="1" applyFont="1" applyBorder="1" applyAlignment="1" applyProtection="1">
      <alignment horizontal="right"/>
    </xf>
    <xf numFmtId="0" fontId="2" fillId="0" borderId="16" xfId="6" quotePrefix="1" applyFont="1" applyFill="1" applyBorder="1" applyAlignment="1" applyProtection="1">
      <alignment horizontal="left" vertical="top" wrapText="1"/>
      <protection locked="0"/>
    </xf>
    <xf numFmtId="0" fontId="2" fillId="0" borderId="17" xfId="6" quotePrefix="1" applyFont="1" applyFill="1" applyBorder="1" applyAlignment="1" applyProtection="1">
      <alignment horizontal="left" vertical="top" wrapText="1"/>
      <protection locked="0"/>
    </xf>
    <xf numFmtId="0" fontId="2" fillId="0" borderId="15" xfId="6" quotePrefix="1" applyFont="1" applyFill="1" applyBorder="1" applyAlignment="1" applyProtection="1">
      <alignment horizontal="left" vertical="top"/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" fillId="0" borderId="44" xfId="6" applyBorder="1" applyProtection="1"/>
    <xf numFmtId="0" fontId="2" fillId="0" borderId="45" xfId="6" applyBorder="1" applyProtection="1"/>
    <xf numFmtId="0" fontId="2" fillId="0" borderId="0" xfId="0" applyFont="1"/>
    <xf numFmtId="0" fontId="2" fillId="0" borderId="0" xfId="0" applyFont="1" applyAlignment="1" applyProtection="1"/>
    <xf numFmtId="0" fontId="0" fillId="0" borderId="21" xfId="0" applyBorder="1"/>
    <xf numFmtId="0" fontId="10" fillId="7" borderId="0" xfId="0" applyFont="1" applyFill="1"/>
    <xf numFmtId="168" fontId="0" fillId="5" borderId="21" xfId="0" applyNumberFormat="1" applyFill="1" applyBorder="1" applyAlignment="1">
      <alignment horizontal="left" vertical="top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1" fillId="0" borderId="2" xfId="0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11" fillId="0" borderId="4" xfId="0" applyFont="1" applyBorder="1" applyAlignment="1" applyProtection="1">
      <alignment horizontal="center" vertical="center" wrapText="1"/>
    </xf>
    <xf numFmtId="0" fontId="24" fillId="0" borderId="0" xfId="0" applyFont="1"/>
    <xf numFmtId="166" fontId="25" fillId="6" borderId="21" xfId="8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4" fillId="0" borderId="21" xfId="0" applyFont="1" applyBorder="1"/>
    <xf numFmtId="0" fontId="24" fillId="0" borderId="21" xfId="0" applyFont="1" applyBorder="1" applyAlignment="1">
      <alignment horizontal="center"/>
    </xf>
    <xf numFmtId="0" fontId="2" fillId="6" borderId="21" xfId="0" applyFont="1" applyFill="1" applyBorder="1"/>
    <xf numFmtId="0" fontId="2" fillId="6" borderId="21" xfId="0" applyFont="1" applyFill="1" applyBorder="1" applyAlignment="1">
      <alignment horizontal="center"/>
    </xf>
    <xf numFmtId="0" fontId="25" fillId="6" borderId="21" xfId="8" applyFont="1" applyFill="1" applyBorder="1" applyAlignment="1"/>
    <xf numFmtId="0" fontId="25" fillId="6" borderId="21" xfId="8" applyFont="1" applyFill="1" applyBorder="1" applyAlignment="1">
      <alignment horizontal="center"/>
    </xf>
    <xf numFmtId="0" fontId="2" fillId="0" borderId="21" xfId="0" applyFont="1" applyBorder="1"/>
    <xf numFmtId="0" fontId="0" fillId="4" borderId="21" xfId="0" applyFill="1" applyBorder="1"/>
    <xf numFmtId="0" fontId="26" fillId="0" borderId="21" xfId="0" applyFont="1" applyBorder="1"/>
    <xf numFmtId="0" fontId="10" fillId="0" borderId="21" xfId="0" applyFont="1" applyBorder="1"/>
    <xf numFmtId="0" fontId="2" fillId="0" borderId="21" xfId="0" applyFont="1" applyBorder="1" applyAlignment="1" applyProtection="1">
      <alignment horizontal="center"/>
    </xf>
    <xf numFmtId="0" fontId="14" fillId="0" borderId="21" xfId="0" applyFont="1" applyBorder="1" applyAlignment="1" applyProtection="1"/>
    <xf numFmtId="0" fontId="0" fillId="4" borderId="21" xfId="0" applyFill="1" applyBorder="1" applyAlignment="1"/>
    <xf numFmtId="0" fontId="0" fillId="6" borderId="21" xfId="0" applyFill="1" applyBorder="1" applyAlignment="1"/>
    <xf numFmtId="0" fontId="10" fillId="0" borderId="21" xfId="0" applyFont="1" applyBorder="1" applyAlignment="1" applyProtection="1"/>
    <xf numFmtId="0" fontId="2" fillId="0" borderId="33" xfId="0" applyFont="1" applyBorder="1" applyAlignment="1" applyProtection="1"/>
    <xf numFmtId="0" fontId="2" fillId="0" borderId="33" xfId="0" applyFont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6" fillId="0" borderId="0" xfId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0" fillId="0" borderId="14" xfId="0" applyBorder="1" applyAlignment="1">
      <alignment horizontal="center"/>
    </xf>
    <xf numFmtId="0" fontId="14" fillId="0" borderId="16" xfId="0" applyFont="1" applyBorder="1" applyAlignment="1" applyProtection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 applyProtection="1">
      <alignment horizontal="center"/>
    </xf>
    <xf numFmtId="0" fontId="20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167" fontId="27" fillId="5" borderId="21" xfId="0" applyNumberFormat="1" applyFont="1" applyFill="1" applyBorder="1" applyAlignment="1">
      <alignment horizontal="center"/>
    </xf>
    <xf numFmtId="167" fontId="27" fillId="5" borderId="21" xfId="0" applyNumberFormat="1" applyFont="1" applyFill="1" applyBorder="1" applyAlignment="1" applyProtection="1">
      <alignment horizontal="center"/>
    </xf>
    <xf numFmtId="167" fontId="27" fillId="0" borderId="21" xfId="0" applyNumberFormat="1" applyFont="1" applyBorder="1" applyAlignment="1">
      <alignment horizontal="center"/>
    </xf>
    <xf numFmtId="167" fontId="27" fillId="0" borderId="21" xfId="0" applyNumberFormat="1" applyFont="1" applyBorder="1" applyAlignment="1" applyProtection="1">
      <alignment horizontal="center"/>
    </xf>
    <xf numFmtId="0" fontId="10" fillId="4" borderId="21" xfId="0" applyFont="1" applyFill="1" applyBorder="1"/>
    <xf numFmtId="0" fontId="13" fillId="0" borderId="0" xfId="6" applyFont="1" applyFill="1" applyBorder="1" applyAlignment="1" applyProtection="1">
      <alignment horizontal="right"/>
      <protection locked="0"/>
    </xf>
    <xf numFmtId="0" fontId="2" fillId="0" borderId="24" xfId="6" applyFont="1" applyFill="1" applyBorder="1" applyAlignment="1" applyProtection="1">
      <alignment horizontal="center"/>
      <protection locked="0"/>
    </xf>
    <xf numFmtId="0" fontId="11" fillId="0" borderId="1" xfId="6" applyFont="1" applyBorder="1" applyAlignment="1" applyProtection="1">
      <alignment horizontal="center" vertical="center" wrapText="1"/>
    </xf>
    <xf numFmtId="0" fontId="11" fillId="0" borderId="2" xfId="6" applyFont="1" applyBorder="1" applyAlignment="1" applyProtection="1">
      <alignment horizontal="center" vertical="center" wrapText="1"/>
    </xf>
    <xf numFmtId="0" fontId="11" fillId="0" borderId="8" xfId="6" applyFont="1" applyBorder="1" applyAlignment="1" applyProtection="1">
      <alignment horizontal="center" vertical="center" wrapText="1"/>
    </xf>
    <xf numFmtId="0" fontId="11" fillId="0" borderId="5" xfId="6" applyFont="1" applyBorder="1" applyAlignment="1" applyProtection="1">
      <alignment horizontal="center" vertical="center" wrapText="1"/>
    </xf>
    <xf numFmtId="0" fontId="11" fillId="0" borderId="0" xfId="6" applyFont="1" applyBorder="1" applyAlignment="1" applyProtection="1">
      <alignment horizontal="center" vertical="center" wrapText="1"/>
    </xf>
    <xf numFmtId="0" fontId="11" fillId="0" borderId="6" xfId="6" applyFont="1" applyBorder="1" applyAlignment="1" applyProtection="1">
      <alignment horizontal="center" vertical="center" wrapText="1"/>
    </xf>
    <xf numFmtId="0" fontId="11" fillId="0" borderId="3" xfId="6" applyFont="1" applyBorder="1" applyAlignment="1" applyProtection="1">
      <alignment horizontal="center" vertical="center" wrapText="1"/>
    </xf>
    <xf numFmtId="0" fontId="11" fillId="0" borderId="4" xfId="6" applyFont="1" applyBorder="1" applyAlignment="1" applyProtection="1">
      <alignment horizontal="center" vertical="center" wrapText="1"/>
    </xf>
    <xf numFmtId="0" fontId="11" fillId="0" borderId="7" xfId="6" applyFont="1" applyBorder="1" applyAlignment="1" applyProtection="1">
      <alignment horizontal="center" vertical="center" wrapText="1"/>
    </xf>
    <xf numFmtId="0" fontId="10" fillId="2" borderId="1" xfId="6" applyFont="1" applyFill="1" applyBorder="1" applyAlignment="1" applyProtection="1">
      <alignment horizontal="left"/>
    </xf>
    <xf numFmtId="0" fontId="10" fillId="2" borderId="2" xfId="6" applyFont="1" applyFill="1" applyBorder="1" applyAlignment="1" applyProtection="1">
      <alignment horizontal="left"/>
    </xf>
    <xf numFmtId="0" fontId="10" fillId="2" borderId="8" xfId="6" applyFont="1" applyFill="1" applyBorder="1" applyAlignment="1" applyProtection="1">
      <alignment horizontal="left"/>
    </xf>
    <xf numFmtId="49" fontId="17" fillId="0" borderId="5" xfId="6" applyNumberFormat="1" applyFont="1" applyFill="1" applyBorder="1" applyAlignment="1" applyProtection="1">
      <alignment horizontal="center"/>
      <protection locked="0"/>
    </xf>
    <xf numFmtId="49" fontId="17" fillId="0" borderId="0" xfId="6" applyNumberFormat="1" applyFont="1" applyFill="1" applyBorder="1" applyAlignment="1" applyProtection="1">
      <alignment horizontal="center"/>
      <protection locked="0"/>
    </xf>
    <xf numFmtId="49" fontId="17" fillId="0" borderId="6" xfId="6" applyNumberFormat="1" applyFont="1" applyFill="1" applyBorder="1" applyAlignment="1" applyProtection="1">
      <alignment horizontal="center"/>
      <protection locked="0"/>
    </xf>
    <xf numFmtId="0" fontId="10" fillId="2" borderId="5" xfId="6" applyFont="1" applyFill="1" applyBorder="1" applyAlignment="1" applyProtection="1">
      <alignment horizontal="left"/>
    </xf>
    <xf numFmtId="0" fontId="10" fillId="2" borderId="0" xfId="6" applyFont="1" applyFill="1" applyBorder="1" applyAlignment="1" applyProtection="1">
      <alignment horizontal="left"/>
    </xf>
    <xf numFmtId="0" fontId="10" fillId="2" borderId="6" xfId="6" applyFont="1" applyFill="1" applyBorder="1" applyAlignment="1" applyProtection="1">
      <alignment horizontal="left"/>
    </xf>
    <xf numFmtId="0" fontId="17" fillId="0" borderId="3" xfId="6" applyFont="1" applyFill="1" applyBorder="1" applyAlignment="1" applyProtection="1">
      <alignment horizontal="center"/>
      <protection locked="0"/>
    </xf>
    <xf numFmtId="0" fontId="17" fillId="0" borderId="4" xfId="6" applyFont="1" applyFill="1" applyBorder="1" applyAlignment="1" applyProtection="1">
      <alignment horizontal="center"/>
      <protection locked="0"/>
    </xf>
    <xf numFmtId="0" fontId="17" fillId="0" borderId="7" xfId="6" applyFont="1" applyFill="1" applyBorder="1" applyAlignment="1" applyProtection="1">
      <alignment horizontal="center"/>
      <protection locked="0"/>
    </xf>
    <xf numFmtId="0" fontId="2" fillId="0" borderId="13" xfId="6" quotePrefix="1" applyFont="1" applyFill="1" applyBorder="1" applyAlignment="1" applyProtection="1">
      <alignment horizontal="left" vertical="top" wrapText="1"/>
      <protection locked="0"/>
    </xf>
    <xf numFmtId="0" fontId="2" fillId="0" borderId="0" xfId="6" quotePrefix="1" applyFont="1" applyFill="1" applyBorder="1" applyAlignment="1" applyProtection="1">
      <alignment horizontal="left" vertical="top" wrapText="1"/>
      <protection locked="0"/>
    </xf>
    <xf numFmtId="0" fontId="2" fillId="0" borderId="14" xfId="6" quotePrefix="1" applyFont="1" applyFill="1" applyBorder="1" applyAlignment="1" applyProtection="1">
      <alignment horizontal="left" vertical="top" wrapText="1"/>
      <protection locked="0"/>
    </xf>
    <xf numFmtId="0" fontId="2" fillId="0" borderId="24" xfId="6" applyFont="1" applyFill="1" applyBorder="1" applyAlignment="1" applyProtection="1">
      <alignment horizontal="left"/>
      <protection locked="0"/>
    </xf>
    <xf numFmtId="0" fontId="10" fillId="0" borderId="24" xfId="6" applyFont="1" applyFill="1" applyBorder="1" applyAlignment="1" applyProtection="1">
      <alignment horizontal="left"/>
      <protection locked="0"/>
    </xf>
    <xf numFmtId="0" fontId="10" fillId="0" borderId="0" xfId="6" applyFont="1" applyFill="1" applyBorder="1" applyAlignment="1" applyProtection="1">
      <alignment horizontal="left" wrapText="1"/>
      <protection locked="0"/>
    </xf>
    <xf numFmtId="0" fontId="10" fillId="0" borderId="14" xfId="6" applyFont="1" applyFill="1" applyBorder="1" applyAlignment="1" applyProtection="1">
      <alignment horizontal="left" wrapText="1"/>
      <protection locked="0"/>
    </xf>
    <xf numFmtId="0" fontId="2" fillId="0" borderId="0" xfId="6" applyFont="1" applyFill="1" applyBorder="1" applyAlignment="1" applyProtection="1">
      <alignment horizontal="left" vertical="top" wrapText="1"/>
      <protection locked="0"/>
    </xf>
    <xf numFmtId="0" fontId="2" fillId="0" borderId="14" xfId="6" applyFont="1" applyFill="1" applyBorder="1" applyAlignment="1" applyProtection="1">
      <alignment horizontal="left" vertical="top" wrapText="1"/>
      <protection locked="0"/>
    </xf>
    <xf numFmtId="0" fontId="2" fillId="0" borderId="15" xfId="6" quotePrefix="1" applyFont="1" applyFill="1" applyBorder="1" applyAlignment="1" applyProtection="1">
      <alignment horizontal="left" vertical="top" wrapText="1"/>
      <protection locked="0"/>
    </xf>
    <xf numFmtId="0" fontId="2" fillId="0" borderId="16" xfId="6" applyFont="1" applyFill="1" applyBorder="1" applyAlignment="1" applyProtection="1">
      <alignment horizontal="left" vertical="top" wrapText="1"/>
      <protection locked="0"/>
    </xf>
    <xf numFmtId="0" fontId="2" fillId="0" borderId="17" xfId="6" applyFont="1" applyFill="1" applyBorder="1" applyAlignment="1" applyProtection="1">
      <alignment horizontal="left" vertical="top" wrapText="1"/>
      <protection locked="0"/>
    </xf>
    <xf numFmtId="165" fontId="15" fillId="0" borderId="31" xfId="6" applyNumberFormat="1" applyFont="1" applyFill="1" applyBorder="1" applyAlignment="1" applyProtection="1">
      <protection locked="0"/>
    </xf>
    <xf numFmtId="165" fontId="15" fillId="0" borderId="32" xfId="6" applyNumberFormat="1" applyFont="1" applyFill="1" applyBorder="1" applyAlignment="1" applyProtection="1">
      <protection locked="0"/>
    </xf>
    <xf numFmtId="0" fontId="2" fillId="0" borderId="13" xfId="6" quotePrefix="1" applyFont="1" applyFill="1" applyBorder="1" applyAlignment="1" applyProtection="1">
      <alignment horizontal="left" vertical="top"/>
      <protection locked="0"/>
    </xf>
    <xf numFmtId="0" fontId="2" fillId="0" borderId="0" xfId="6" quotePrefix="1" applyFont="1" applyFill="1" applyBorder="1" applyAlignment="1" applyProtection="1">
      <alignment horizontal="left" vertical="top"/>
      <protection locked="0"/>
    </xf>
    <xf numFmtId="0" fontId="2" fillId="0" borderId="14" xfId="6" quotePrefix="1" applyFont="1" applyFill="1" applyBorder="1" applyAlignment="1" applyProtection="1">
      <alignment horizontal="left" vertical="top"/>
      <protection locked="0"/>
    </xf>
    <xf numFmtId="0" fontId="2" fillId="0" borderId="16" xfId="6" quotePrefix="1" applyFont="1" applyFill="1" applyBorder="1" applyAlignment="1" applyProtection="1">
      <alignment horizontal="left" vertical="top" wrapText="1"/>
      <protection locked="0"/>
    </xf>
    <xf numFmtId="0" fontId="2" fillId="0" borderId="17" xfId="6" quotePrefix="1" applyFont="1" applyFill="1" applyBorder="1" applyAlignment="1" applyProtection="1">
      <alignment horizontal="left" vertical="top" wrapText="1"/>
      <protection locked="0"/>
    </xf>
    <xf numFmtId="49" fontId="15" fillId="0" borderId="33" xfId="6" applyNumberFormat="1" applyFont="1" applyFill="1" applyBorder="1" applyAlignment="1" applyProtection="1">
      <alignment horizontal="center"/>
      <protection locked="0"/>
    </xf>
    <xf numFmtId="49" fontId="15" fillId="0" borderId="38" xfId="6" applyNumberFormat="1" applyFont="1" applyFill="1" applyBorder="1" applyAlignment="1" applyProtection="1">
      <alignment horizontal="center"/>
      <protection locked="0"/>
    </xf>
    <xf numFmtId="49" fontId="15" fillId="0" borderId="30" xfId="6" applyNumberFormat="1" applyFont="1" applyFill="1" applyBorder="1" applyAlignment="1" applyProtection="1">
      <alignment horizontal="center"/>
      <protection locked="0"/>
    </xf>
    <xf numFmtId="49" fontId="15" fillId="0" borderId="27" xfId="6" applyNumberFormat="1" applyFont="1" applyFill="1" applyBorder="1" applyAlignment="1" applyProtection="1">
      <alignment horizontal="center"/>
      <protection locked="0"/>
    </xf>
    <xf numFmtId="49" fontId="15" fillId="0" borderId="28" xfId="6" applyNumberFormat="1" applyFont="1" applyFill="1" applyBorder="1" applyAlignment="1" applyProtection="1">
      <alignment horizontal="center"/>
      <protection locked="0"/>
    </xf>
    <xf numFmtId="49" fontId="15" fillId="0" borderId="31" xfId="6" applyNumberFormat="1" applyFont="1" applyFill="1" applyBorder="1" applyAlignment="1" applyProtection="1">
      <alignment horizontal="center"/>
      <protection locked="0"/>
    </xf>
    <xf numFmtId="49" fontId="15" fillId="0" borderId="39" xfId="6" applyNumberFormat="1" applyFont="1" applyFill="1" applyBorder="1" applyAlignment="1" applyProtection="1">
      <alignment horizontal="center"/>
      <protection locked="0"/>
    </xf>
    <xf numFmtId="49" fontId="15" fillId="0" borderId="29" xfId="6" applyNumberFormat="1" applyFont="1" applyFill="1" applyBorder="1" applyAlignment="1" applyProtection="1">
      <alignment horizontal="center"/>
      <protection locked="0"/>
    </xf>
    <xf numFmtId="165" fontId="15" fillId="0" borderId="33" xfId="6" applyNumberFormat="1" applyFont="1" applyFill="1" applyBorder="1" applyAlignment="1" applyProtection="1">
      <protection locked="0"/>
    </xf>
    <xf numFmtId="165" fontId="15" fillId="0" borderId="34" xfId="6" applyNumberFormat="1" applyFont="1" applyFill="1" applyBorder="1" applyAlignment="1" applyProtection="1">
      <protection locked="0"/>
    </xf>
    <xf numFmtId="49" fontId="2" fillId="0" borderId="35" xfId="6" applyNumberFormat="1" applyFont="1" applyFill="1" applyBorder="1" applyAlignment="1" applyProtection="1">
      <alignment horizontal="center"/>
      <protection locked="0"/>
    </xf>
    <xf numFmtId="49" fontId="2" fillId="0" borderId="36" xfId="6" applyNumberFormat="1" applyFont="1" applyFill="1" applyBorder="1" applyAlignment="1" applyProtection="1">
      <alignment horizontal="center"/>
      <protection locked="0"/>
    </xf>
    <xf numFmtId="49" fontId="2" fillId="0" borderId="26" xfId="6" applyNumberFormat="1" applyFont="1" applyFill="1" applyBorder="1" applyAlignment="1" applyProtection="1">
      <alignment horizontal="center"/>
      <protection locked="0"/>
    </xf>
    <xf numFmtId="49" fontId="2" fillId="0" borderId="37" xfId="6" applyNumberFormat="1" applyFont="1" applyFill="1" applyBorder="1" applyAlignment="1" applyProtection="1">
      <alignment horizontal="center"/>
      <protection locked="0"/>
    </xf>
    <xf numFmtId="0" fontId="3" fillId="2" borderId="19" xfId="6" applyFont="1" applyFill="1" applyBorder="1" applyAlignment="1" applyProtection="1">
      <alignment horizontal="center"/>
    </xf>
    <xf numFmtId="0" fontId="3" fillId="2" borderId="20" xfId="6" applyFont="1" applyFill="1" applyBorder="1" applyAlignment="1" applyProtection="1">
      <alignment horizontal="center"/>
    </xf>
    <xf numFmtId="0" fontId="3" fillId="2" borderId="22" xfId="6" applyFont="1" applyFill="1" applyBorder="1" applyAlignment="1" applyProtection="1">
      <alignment horizontal="center"/>
    </xf>
    <xf numFmtId="0" fontId="3" fillId="2" borderId="24" xfId="6" applyFont="1" applyFill="1" applyBorder="1" applyAlignment="1" applyProtection="1">
      <alignment horizontal="center"/>
    </xf>
    <xf numFmtId="0" fontId="3" fillId="2" borderId="23" xfId="6" applyFont="1" applyFill="1" applyBorder="1" applyAlignment="1" applyProtection="1">
      <alignment horizontal="center"/>
    </xf>
    <xf numFmtId="0" fontId="3" fillId="2" borderId="41" xfId="6" applyFont="1" applyFill="1" applyBorder="1" applyAlignment="1" applyProtection="1">
      <alignment horizontal="center"/>
    </xf>
    <xf numFmtId="0" fontId="3" fillId="2" borderId="42" xfId="6" applyFont="1" applyFill="1" applyBorder="1" applyAlignment="1" applyProtection="1">
      <alignment horizontal="center"/>
    </xf>
    <xf numFmtId="0" fontId="3" fillId="2" borderId="43" xfId="6" applyFont="1" applyFill="1" applyBorder="1" applyAlignment="1" applyProtection="1">
      <alignment horizontal="center"/>
    </xf>
    <xf numFmtId="0" fontId="7" fillId="0" borderId="24" xfId="0" applyFont="1" applyFill="1" applyBorder="1" applyAlignment="1" applyProtection="1">
      <alignment horizontal="left"/>
      <protection locked="0"/>
    </xf>
    <xf numFmtId="0" fontId="16" fillId="0" borderId="24" xfId="0" applyFont="1" applyFill="1" applyBorder="1" applyAlignment="1" applyProtection="1">
      <alignment horizontal="left"/>
      <protection locked="0"/>
    </xf>
    <xf numFmtId="0" fontId="11" fillId="0" borderId="1" xfId="0" applyFont="1" applyBorder="1" applyAlignment="1" applyProtection="1">
      <alignment horizontal="center" vertical="center" wrapText="1"/>
    </xf>
    <xf numFmtId="0" fontId="11" fillId="0" borderId="2" xfId="0" applyFont="1" applyBorder="1" applyAlignment="1" applyProtection="1">
      <alignment horizontal="center" vertical="center" wrapText="1"/>
    </xf>
    <xf numFmtId="0" fontId="11" fillId="0" borderId="5" xfId="0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11" fillId="0" borderId="3" xfId="0" applyFont="1" applyBorder="1" applyAlignment="1" applyProtection="1">
      <alignment horizontal="center" vertical="center" wrapText="1"/>
    </xf>
    <xf numFmtId="0" fontId="11" fillId="0" borderId="4" xfId="0" applyFont="1" applyBorder="1" applyAlignment="1" applyProtection="1">
      <alignment horizontal="center" vertical="center" wrapText="1"/>
    </xf>
    <xf numFmtId="0" fontId="10" fillId="2" borderId="1" xfId="0" applyFont="1" applyFill="1" applyBorder="1" applyAlignment="1" applyProtection="1">
      <alignment horizontal="left"/>
    </xf>
    <xf numFmtId="0" fontId="10" fillId="2" borderId="2" xfId="0" applyFont="1" applyFill="1" applyBorder="1" applyAlignment="1" applyProtection="1">
      <alignment horizontal="left"/>
    </xf>
    <xf numFmtId="0" fontId="10" fillId="2" borderId="8" xfId="0" applyFont="1" applyFill="1" applyBorder="1" applyAlignment="1" applyProtection="1">
      <alignment horizontal="left"/>
    </xf>
    <xf numFmtId="49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4" xfId="0" applyFont="1" applyFill="1" applyBorder="1" applyAlignment="1" applyProtection="1">
      <alignment horizontal="center"/>
      <protection locked="0"/>
    </xf>
    <xf numFmtId="0" fontId="17" fillId="0" borderId="7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left"/>
    </xf>
    <xf numFmtId="0" fontId="10" fillId="2" borderId="6" xfId="0" applyFont="1" applyFill="1" applyBorder="1" applyAlignment="1" applyProtection="1">
      <alignment horizontal="left"/>
    </xf>
    <xf numFmtId="0" fontId="17" fillId="0" borderId="3" xfId="0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0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</cellXfs>
  <cellStyles count="9">
    <cellStyle name="Good 2" xfId="5"/>
    <cellStyle name="Hyperlink" xfId="1" builtinId="8"/>
    <cellStyle name="Normal" xfId="0" builtinId="0"/>
    <cellStyle name="Normal 2" xfId="2"/>
    <cellStyle name="Normal 2 2" xfId="6"/>
    <cellStyle name="Normal 3" xfId="3"/>
    <cellStyle name="Normal 4" xfId="8"/>
    <cellStyle name="Percent 2" xfId="7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47625</xdr:rowOff>
    </xdr:from>
    <xdr:to>
      <xdr:col>4</xdr:col>
      <xdr:colOff>723900</xdr:colOff>
      <xdr:row>2</xdr:row>
      <xdr:rowOff>142875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00025"/>
          <a:ext cx="20097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95250</xdr:colOff>
      <xdr:row>44</xdr:row>
      <xdr:rowOff>119062</xdr:rowOff>
    </xdr:from>
    <xdr:ext cx="283845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695575" y="6996112"/>
              <a:ext cx="283845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CA" sz="1100" b="0" i="1">
                            <a:latin typeface="Cambria Math"/>
                          </a:rPr>
                          <m:t>𝑘</m:t>
                        </m:r>
                      </m:e>
                      <m:sub>
                        <m:r>
                          <a:rPr lang="en-CA" sz="1100" b="0" i="1">
                            <a:latin typeface="Cambria Math"/>
                          </a:rPr>
                          <m:t>𝑖𝑗</m:t>
                        </m:r>
                      </m:sub>
                    </m:sSub>
                    <m:r>
                      <a:rPr lang="en-CA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latin typeface="Cambria Math"/>
                              </a:rPr>
                              <m:t>𝑘</m:t>
                            </m:r>
                          </m:e>
                          <m:sub>
                            <m:r>
                              <a:rPr lang="en-CA" sz="1100" b="0" i="1">
                                <a:latin typeface="Cambria Math"/>
                              </a:rPr>
                              <m:t>𝑖𝑗</m:t>
                            </m:r>
                          </m:sub>
                        </m:sSub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0</m:t>
                        </m:r>
                      </m:sup>
                    </m:sSup>
                    <m:r>
                      <a:rPr lang="en-CA" sz="1100" b="0" i="1">
                        <a:latin typeface="Cambria Math"/>
                      </a:rPr>
                      <m:t>∗</m:t>
                    </m:r>
                    <m:d>
                      <m:dPr>
                        <m:ctrlPr>
                          <a:rPr lang="en-CA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CA" sz="11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𝑖𝑗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p>
                            </m:sSup>
                          </m:num>
                          <m:den>
                            <m: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den>
                        </m:f>
                        <m:r>
                          <a:rPr lang="en-CA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CA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unc>
                          <m:func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CA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CA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695575" y="6996112"/>
              <a:ext cx="283845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CA" sz="1100" b="0" i="0">
                  <a:latin typeface="Cambria Math"/>
                </a:rPr>
                <a:t>𝑘_𝑖𝑗=〖𝑘_𝑖𝑗〗^0∗(1+</a:t>
              </a:r>
              <a:r>
                <a:rPr lang="en-CA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〖𝑘_𝑖𝑗〗^</a:t>
              </a:r>
              <a:r>
                <a:rPr lang="en-CA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1/𝑇+</a:t>
              </a:r>
              <a:r>
                <a:rPr lang="en-CA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〖𝑘_𝑖𝑗〗^</a:t>
              </a:r>
              <a:r>
                <a:rPr lang="en-CA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2∗ln⁡(𝑇) )</a:t>
              </a:r>
              <a:endParaRPr lang="en-CA" sz="1100"/>
            </a:p>
          </xdr:txBody>
        </xdr:sp>
      </mc:Fallback>
    </mc:AlternateContent>
    <xdr:clientData/>
  </xdr:oneCellAnchor>
  <xdr:oneCellAnchor>
    <xdr:from>
      <xdr:col>5</xdr:col>
      <xdr:colOff>133350</xdr:colOff>
      <xdr:row>49</xdr:row>
      <xdr:rowOff>85725</xdr:rowOff>
    </xdr:from>
    <xdr:ext cx="2838450" cy="5510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733675" y="7810500"/>
              <a:ext cx="2838450" cy="5510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latin typeface="Cambria Math"/>
                              </a:rPr>
                              <m:t>𝑘</m:t>
                            </m:r>
                          </m:e>
                          <m:sub>
                            <m:r>
                              <a:rPr lang="en-CA" sz="1100" b="0" i="1">
                                <a:latin typeface="Cambria Math"/>
                              </a:rPr>
                              <m:t>𝑖𝑗</m:t>
                            </m:r>
                          </m:sub>
                        </m:sSub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0</m:t>
                        </m:r>
                      </m:sup>
                    </m:sSup>
                    <m:r>
                      <a:rPr lang="en-CA" sz="1100" b="0" i="1">
                        <a:latin typeface="Cambria Math"/>
                      </a:rPr>
                      <m:t>=1−</m:t>
                    </m:r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CA" sz="1100" b="0" i="1">
                                    <a:latin typeface="Cambria Math"/>
                                  </a:rPr>
                                  <m:t>2∗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radPr>
                                  <m:deg/>
                                  <m:e>
                                    <m:sSub>
                                      <m:sSubPr>
                                        <m:ctrlPr>
                                          <a:rPr lang="en-CA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𝐶𝑖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en-CA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𝐶𝑗</m:t>
                                        </m:r>
                                      </m:sub>
                                    </m:sSub>
                                  </m:e>
                                </m:rad>
                              </m:num>
                              <m:den>
                                <m:sSub>
                                  <m:sSubPr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𝑇𝑐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CA" sz="1100" b="0" i="1">
                                    <a:latin typeface="Cambria Math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𝐶𝑗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CA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733675" y="7810500"/>
              <a:ext cx="2838450" cy="5510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CA" sz="1100" b="0" i="0">
                  <a:latin typeface="Cambria Math"/>
                </a:rPr>
                <a:t>〖𝑘_𝑖𝑗〗^0=1−[(2∗√(𝑇_𝐶𝑖 𝑇_𝐶𝑗 ))/(〖𝑇𝑐〗_𝑖+𝑇_𝐶𝑗 )]^𝑛</a:t>
              </a:r>
              <a:endParaRPr lang="en-CA" sz="1100"/>
            </a:p>
          </xdr:txBody>
        </xdr:sp>
      </mc:Fallback>
    </mc:AlternateContent>
    <xdr:clientData/>
  </xdr:oneCellAnchor>
  <xdr:twoCellAnchor editAs="oneCell">
    <xdr:from>
      <xdr:col>8</xdr:col>
      <xdr:colOff>319535</xdr:colOff>
      <xdr:row>47</xdr:row>
      <xdr:rowOff>47136</xdr:rowOff>
    </xdr:from>
    <xdr:to>
      <xdr:col>12</xdr:col>
      <xdr:colOff>538225</xdr:colOff>
      <xdr:row>61</xdr:row>
      <xdr:rowOff>2240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9211" y="7084430"/>
          <a:ext cx="2852073" cy="22411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161925</xdr:colOff>
      <xdr:row>30</xdr:row>
      <xdr:rowOff>47625</xdr:rowOff>
    </xdr:from>
    <xdr:to>
      <xdr:col>13</xdr:col>
      <xdr:colOff>576700</xdr:colOff>
      <xdr:row>44</xdr:row>
      <xdr:rowOff>24197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10400" y="4905375"/>
          <a:ext cx="2853175" cy="22435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47625</xdr:rowOff>
    </xdr:from>
    <xdr:to>
      <xdr:col>4</xdr:col>
      <xdr:colOff>257175</xdr:colOff>
      <xdr:row>2</xdr:row>
      <xdr:rowOff>142875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00025"/>
          <a:ext cx="20097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285750</xdr:colOff>
      <xdr:row>25</xdr:row>
      <xdr:rowOff>57150</xdr:rowOff>
    </xdr:from>
    <xdr:ext cx="283845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495425" y="4210050"/>
              <a:ext cx="283845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CA" sz="1100" b="0" i="1">
                            <a:latin typeface="Cambria Math"/>
                          </a:rPr>
                          <m:t>𝑘</m:t>
                        </m:r>
                      </m:e>
                      <m:sub>
                        <m:r>
                          <a:rPr lang="en-CA" sz="1100" b="0" i="1">
                            <a:latin typeface="Cambria Math"/>
                          </a:rPr>
                          <m:t>𝑖𝑗</m:t>
                        </m:r>
                      </m:sub>
                    </m:sSub>
                    <m:r>
                      <a:rPr lang="en-CA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latin typeface="Cambria Math"/>
                              </a:rPr>
                              <m:t>𝑘</m:t>
                            </m:r>
                          </m:e>
                          <m:sub>
                            <m:r>
                              <a:rPr lang="en-CA" sz="1100" b="0" i="1">
                                <a:latin typeface="Cambria Math"/>
                              </a:rPr>
                              <m:t>𝑖𝑗</m:t>
                            </m:r>
                          </m:sub>
                        </m:sSub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0</m:t>
                        </m:r>
                      </m:sup>
                    </m:sSup>
                    <m:r>
                      <a:rPr lang="en-CA" sz="1100" b="0" i="1">
                        <a:latin typeface="Cambria Math"/>
                      </a:rPr>
                      <m:t>∗</m:t>
                    </m:r>
                    <m:d>
                      <m:dPr>
                        <m:ctrlPr>
                          <a:rPr lang="en-CA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CA" sz="11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𝑖𝑗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p>
                            </m:sSup>
                          </m:num>
                          <m:den>
                            <m: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den>
                        </m:f>
                        <m:r>
                          <a:rPr lang="en-CA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𝑖𝑗</m:t>
                                </m:r>
                              </m:sub>
                            </m:sSub>
                          </m:e>
                          <m:sup>
                            <m: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CA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unc>
                          <m:funcPr>
                            <m:ctrlPr>
                              <a:rPr lang="en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CA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CA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</m:d>
                          </m:e>
                        </m:func>
                      </m:e>
                    </m:d>
                  </m:oMath>
                </m:oMathPara>
              </a14:m>
              <a:endParaRPr lang="en-CA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495425" y="4210050"/>
              <a:ext cx="283845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CA" sz="1100" b="0" i="0">
                  <a:latin typeface="Cambria Math"/>
                </a:rPr>
                <a:t>𝑘_𝑖𝑗=〖𝑘_𝑖𝑗〗^0∗(1+</a:t>
              </a:r>
              <a:r>
                <a:rPr lang="en-CA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〖𝑘_𝑖𝑗〗^1/𝑇+〖𝑘_𝑖𝑗〗^2∗ln⁡(𝑇) )</a:t>
              </a:r>
              <a:endParaRPr lang="en-CA" sz="1100"/>
            </a:p>
          </xdr:txBody>
        </xdr:sp>
      </mc:Fallback>
    </mc:AlternateContent>
    <xdr:clientData/>
  </xdr:oneCellAnchor>
  <xdr:oneCellAnchor>
    <xdr:from>
      <xdr:col>8</xdr:col>
      <xdr:colOff>66675</xdr:colOff>
      <xdr:row>15</xdr:row>
      <xdr:rowOff>100574</xdr:rowOff>
    </xdr:from>
    <xdr:ext cx="1904999" cy="5510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819650" y="2624699"/>
              <a:ext cx="1904999" cy="5510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latin typeface="Cambria Math"/>
                              </a:rPr>
                              <m:t>𝑘</m:t>
                            </m:r>
                          </m:e>
                          <m:sub>
                            <m:r>
                              <a:rPr lang="en-CA" sz="1100" b="0" i="1">
                                <a:latin typeface="Cambria Math"/>
                              </a:rPr>
                              <m:t>𝑖𝑗</m:t>
                            </m:r>
                          </m:sub>
                        </m:sSub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0</m:t>
                        </m:r>
                      </m:sup>
                    </m:sSup>
                    <m:r>
                      <a:rPr lang="en-CA" sz="1100" b="0" i="1">
                        <a:latin typeface="Cambria Math"/>
                      </a:rPr>
                      <m:t>=1−</m:t>
                    </m:r>
                    <m:sSup>
                      <m:sSupPr>
                        <m:ctrlPr>
                          <a:rPr lang="en-CA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CA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CA" sz="1100" b="0" i="1">
                                    <a:latin typeface="Cambria Math"/>
                                  </a:rPr>
                                  <m:t>2∗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radPr>
                                  <m:deg/>
                                  <m:e>
                                    <m:sSub>
                                      <m:sSubPr>
                                        <m:ctrlPr>
                                          <a:rPr lang="en-CA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𝐶𝑖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en-CA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100" b="0" i="1">
                                            <a:latin typeface="Cambria Math"/>
                                          </a:rPr>
                                          <m:t>𝐶𝑗</m:t>
                                        </m:r>
                                      </m:sub>
                                    </m:sSub>
                                  </m:e>
                                </m:rad>
                              </m:num>
                              <m:den>
                                <m:sSub>
                                  <m:sSubPr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𝑇𝑐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CA" sz="1100" b="0" i="1">
                                    <a:latin typeface="Cambria Math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CA" sz="1100" b="0" i="1">
                                        <a:latin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latin typeface="Cambria Math"/>
                                      </a:rPr>
                                      <m:t>𝐶𝑗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CA" sz="1100" b="0" i="1">
                            <a:latin typeface="Cambria Math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CA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819650" y="2624699"/>
              <a:ext cx="1904999" cy="5510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CA" sz="1100" b="0" i="0">
                  <a:latin typeface="Cambria Math"/>
                </a:rPr>
                <a:t>〖𝑘_𝑖𝑗〗^0=1−[(2∗√(𝑇_𝐶𝑖 𝑇_𝐶𝑗 ))/(〖𝑇𝑐〗_𝑖+𝑇_𝐶𝑗 )]^𝑛</a:t>
              </a:r>
              <a:endParaRPr lang="en-CA" sz="1100"/>
            </a:p>
          </xdr:txBody>
        </xdr:sp>
      </mc:Fallback>
    </mc:AlternateContent>
    <xdr:clientData/>
  </xdr:oneCellAnchor>
  <xdr:twoCellAnchor editAs="oneCell">
    <xdr:from>
      <xdr:col>8</xdr:col>
      <xdr:colOff>514350</xdr:colOff>
      <xdr:row>19</xdr:row>
      <xdr:rowOff>66675</xdr:rowOff>
    </xdr:from>
    <xdr:to>
      <xdr:col>13</xdr:col>
      <xdr:colOff>24250</xdr:colOff>
      <xdr:row>33</xdr:row>
      <xdr:rowOff>24197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67325" y="3238500"/>
          <a:ext cx="2853175" cy="22435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47625</xdr:rowOff>
    </xdr:from>
    <xdr:to>
      <xdr:col>4</xdr:col>
      <xdr:colOff>723900</xdr:colOff>
      <xdr:row>2</xdr:row>
      <xdr:rowOff>142875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00025"/>
          <a:ext cx="19431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4000%20Engineering\4900%20Process\49EX%20Engineering\49EB%20Process%20Calculation\2000%20-%20Production%20Treatment\Pump\P-2220%20Calc%20Rev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Design Notes"/>
      <sheetName val="PumpCalcs"/>
      <sheetName val="Line Sizing"/>
      <sheetName val="na-Winter"/>
      <sheetName val="Curve"/>
      <sheetName val="Sketch"/>
      <sheetName val="Efficiencies"/>
      <sheetName val="Data"/>
      <sheetName val="Hysys Data"/>
      <sheetName val="Subrout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79"/>
  <sheetViews>
    <sheetView showGridLines="0" tabSelected="1" view="pageLayout" topLeftCell="A22" zoomScale="85" zoomScaleNormal="70" zoomScalePageLayoutView="85" workbookViewId="0">
      <selection activeCell="M76" sqref="M76:N76"/>
    </sheetView>
  </sheetViews>
  <sheetFormatPr defaultRowHeight="12.75" x14ac:dyDescent="0.2"/>
  <cols>
    <col min="1" max="1" width="3.7109375" style="39" customWidth="1"/>
    <col min="2" max="3" width="4.7109375" style="39" customWidth="1"/>
    <col min="4" max="4" width="6.28515625" style="39" customWidth="1"/>
    <col min="5" max="5" width="17.7109375" style="39" customWidth="1"/>
    <col min="6" max="6" width="17.5703125" style="39" customWidth="1"/>
    <col min="7" max="7" width="14.140625" style="39" customWidth="1"/>
    <col min="8" max="8" width="9.28515625" style="39" customWidth="1"/>
    <col min="9" max="9" width="9" style="39" customWidth="1"/>
    <col min="10" max="10" width="9.28515625" style="39" customWidth="1"/>
    <col min="11" max="11" width="10" style="39" customWidth="1"/>
    <col min="12" max="12" width="9.28515625" style="39" customWidth="1"/>
    <col min="13" max="13" width="9" style="39" customWidth="1"/>
    <col min="14" max="14" width="1.5703125" style="39" customWidth="1"/>
    <col min="15" max="16384" width="9.140625" style="39"/>
  </cols>
  <sheetData>
    <row r="1" spans="1:16" ht="12.6" customHeight="1" x14ac:dyDescent="0.2">
      <c r="A1" s="36"/>
      <c r="B1" s="37"/>
      <c r="C1" s="37"/>
      <c r="D1" s="37"/>
      <c r="E1" s="38"/>
      <c r="F1" s="161" t="s">
        <v>16</v>
      </c>
      <c r="G1" s="162"/>
      <c r="H1" s="162"/>
      <c r="I1" s="162"/>
      <c r="J1" s="163"/>
      <c r="K1" s="170" t="s">
        <v>18</v>
      </c>
      <c r="L1" s="171"/>
      <c r="M1" s="171"/>
      <c r="N1" s="172"/>
    </row>
    <row r="2" spans="1:16" ht="20.25" customHeight="1" x14ac:dyDescent="0.25">
      <c r="A2" s="40"/>
      <c r="B2" s="41"/>
      <c r="C2" s="41"/>
      <c r="D2" s="41"/>
      <c r="E2" s="42"/>
      <c r="F2" s="164"/>
      <c r="G2" s="165"/>
      <c r="H2" s="165"/>
      <c r="I2" s="165"/>
      <c r="J2" s="166"/>
      <c r="K2" s="173" t="s">
        <v>30</v>
      </c>
      <c r="L2" s="174"/>
      <c r="M2" s="174"/>
      <c r="N2" s="175"/>
    </row>
    <row r="3" spans="1:16" ht="12.6" customHeight="1" x14ac:dyDescent="0.2">
      <c r="A3" s="40"/>
      <c r="B3" s="41"/>
      <c r="C3" s="41"/>
      <c r="D3" s="41"/>
      <c r="E3" s="42"/>
      <c r="F3" s="164"/>
      <c r="G3" s="165"/>
      <c r="H3" s="165"/>
      <c r="I3" s="165"/>
      <c r="J3" s="166"/>
      <c r="K3" s="176" t="s">
        <v>19</v>
      </c>
      <c r="L3" s="177"/>
      <c r="M3" s="177"/>
      <c r="N3" s="178"/>
    </row>
    <row r="4" spans="1:16" ht="17.25" customHeight="1" thickBot="1" x14ac:dyDescent="0.3">
      <c r="A4" s="43"/>
      <c r="B4" s="44"/>
      <c r="C4" s="44"/>
      <c r="D4" s="44"/>
      <c r="E4" s="45"/>
      <c r="F4" s="167"/>
      <c r="G4" s="168"/>
      <c r="H4" s="168"/>
      <c r="I4" s="168"/>
      <c r="J4" s="169"/>
      <c r="K4" s="179" t="s">
        <v>113</v>
      </c>
      <c r="L4" s="180"/>
      <c r="M4" s="180"/>
      <c r="N4" s="181"/>
      <c r="P4" s="11"/>
    </row>
    <row r="5" spans="1:16" ht="13.5" thickBot="1" x14ac:dyDescent="0.25"/>
    <row r="6" spans="1:16" ht="6" customHeight="1" thickTop="1" x14ac:dyDescent="0.2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8"/>
    </row>
    <row r="7" spans="1:16" x14ac:dyDescent="0.2">
      <c r="A7" s="49"/>
      <c r="B7" s="50" t="s">
        <v>17</v>
      </c>
      <c r="C7" s="50"/>
      <c r="D7" s="51" t="s">
        <v>108</v>
      </c>
      <c r="E7" s="51"/>
      <c r="F7" s="51"/>
      <c r="G7" s="51"/>
      <c r="H7" s="159" t="s">
        <v>20</v>
      </c>
      <c r="I7" s="159"/>
      <c r="J7" s="160"/>
      <c r="K7" s="160"/>
      <c r="L7" s="160"/>
      <c r="M7" s="160"/>
      <c r="N7" s="52"/>
    </row>
    <row r="8" spans="1:16" ht="6" customHeight="1" x14ac:dyDescent="0.2">
      <c r="A8" s="49"/>
      <c r="B8" s="50"/>
      <c r="C8" s="50"/>
      <c r="D8" s="53"/>
      <c r="E8" s="53"/>
      <c r="F8" s="54"/>
      <c r="G8" s="54"/>
      <c r="H8" s="54"/>
      <c r="I8" s="54"/>
      <c r="J8" s="54"/>
      <c r="K8" s="54"/>
      <c r="L8" s="54"/>
      <c r="M8" s="54"/>
      <c r="N8" s="52"/>
    </row>
    <row r="9" spans="1:16" x14ac:dyDescent="0.2">
      <c r="A9" s="49"/>
      <c r="B9" s="50" t="s">
        <v>1</v>
      </c>
      <c r="C9" s="50"/>
      <c r="D9" s="185" t="s">
        <v>109</v>
      </c>
      <c r="E9" s="185"/>
      <c r="F9" s="185"/>
      <c r="G9" s="185"/>
      <c r="H9" s="185"/>
      <c r="I9" s="185"/>
      <c r="J9" s="185"/>
      <c r="K9" s="185"/>
      <c r="L9" s="185"/>
      <c r="M9" s="185"/>
      <c r="N9" s="52"/>
    </row>
    <row r="10" spans="1:16" ht="8.1" customHeight="1" x14ac:dyDescent="0.2">
      <c r="A10" s="49"/>
      <c r="B10" s="50"/>
      <c r="C10" s="50"/>
      <c r="D10" s="53"/>
      <c r="E10" s="53"/>
      <c r="F10" s="54"/>
      <c r="G10" s="54"/>
      <c r="H10" s="54"/>
      <c r="I10" s="54"/>
      <c r="J10" s="54"/>
      <c r="K10" s="54"/>
      <c r="L10" s="54"/>
      <c r="M10" s="54"/>
      <c r="N10" s="52"/>
    </row>
    <row r="11" spans="1:16" ht="12" customHeight="1" x14ac:dyDescent="0.2">
      <c r="A11" s="49"/>
      <c r="B11" s="50" t="s">
        <v>10</v>
      </c>
      <c r="C11" s="50"/>
      <c r="D11" s="185" t="s">
        <v>110</v>
      </c>
      <c r="E11" s="185"/>
      <c r="F11" s="185"/>
      <c r="G11" s="185"/>
      <c r="H11" s="185"/>
      <c r="I11" s="54"/>
      <c r="J11" s="55" t="s">
        <v>11</v>
      </c>
      <c r="K11" s="185" t="s">
        <v>50</v>
      </c>
      <c r="L11" s="185"/>
      <c r="M11" s="185"/>
      <c r="N11" s="52"/>
    </row>
    <row r="12" spans="1:16" ht="6" customHeight="1" x14ac:dyDescent="0.2">
      <c r="A12" s="49"/>
      <c r="B12" s="50"/>
      <c r="C12" s="50"/>
      <c r="D12" s="53"/>
      <c r="E12" s="53"/>
      <c r="F12" s="54"/>
      <c r="G12" s="54"/>
      <c r="H12" s="54"/>
      <c r="I12" s="54"/>
      <c r="J12" s="54"/>
      <c r="K12" s="54"/>
      <c r="L12" s="54"/>
      <c r="M12" s="54"/>
      <c r="N12" s="52"/>
    </row>
    <row r="13" spans="1:16" x14ac:dyDescent="0.2">
      <c r="A13" s="49"/>
      <c r="B13" s="50"/>
      <c r="C13" s="50"/>
      <c r="D13" s="185"/>
      <c r="E13" s="185"/>
      <c r="F13" s="185"/>
      <c r="G13" s="185"/>
      <c r="H13" s="185"/>
      <c r="I13" s="54"/>
      <c r="J13" s="55" t="s">
        <v>14</v>
      </c>
      <c r="K13" s="56">
        <v>1</v>
      </c>
      <c r="L13" s="57" t="s">
        <v>15</v>
      </c>
      <c r="M13" s="56">
        <v>4</v>
      </c>
      <c r="N13" s="52"/>
    </row>
    <row r="14" spans="1:16" ht="6" customHeight="1" x14ac:dyDescent="0.2">
      <c r="A14" s="49"/>
      <c r="B14" s="50"/>
      <c r="C14" s="50"/>
      <c r="D14" s="53"/>
      <c r="E14" s="53"/>
      <c r="F14" s="54"/>
      <c r="G14" s="54"/>
      <c r="H14" s="54"/>
      <c r="I14" s="54"/>
      <c r="J14" s="54"/>
      <c r="K14" s="54"/>
      <c r="L14" s="54"/>
      <c r="M14" s="54"/>
      <c r="N14" s="52"/>
    </row>
    <row r="15" spans="1:16" x14ac:dyDescent="0.2">
      <c r="A15" s="49"/>
      <c r="B15" s="50" t="s">
        <v>0</v>
      </c>
      <c r="C15" s="50"/>
      <c r="D15" s="58"/>
      <c r="E15" s="58"/>
      <c r="F15" s="185" t="s">
        <v>107</v>
      </c>
      <c r="G15" s="185"/>
      <c r="H15" s="53"/>
      <c r="I15" s="59" t="s">
        <v>9</v>
      </c>
      <c r="J15" s="186"/>
      <c r="K15" s="186"/>
      <c r="L15" s="186"/>
      <c r="M15" s="186"/>
      <c r="N15" s="52"/>
    </row>
    <row r="16" spans="1:16" ht="6" customHeight="1" x14ac:dyDescent="0.2">
      <c r="A16" s="49"/>
      <c r="B16" s="50"/>
      <c r="C16" s="50"/>
      <c r="D16" s="60"/>
      <c r="E16" s="60"/>
      <c r="F16" s="61"/>
      <c r="G16" s="61"/>
      <c r="H16" s="61"/>
      <c r="I16" s="61"/>
      <c r="J16" s="61"/>
      <c r="K16" s="61"/>
      <c r="L16" s="61"/>
      <c r="M16" s="61"/>
      <c r="N16" s="52"/>
    </row>
    <row r="17" spans="1:14" x14ac:dyDescent="0.2">
      <c r="A17" s="49"/>
      <c r="B17" s="50" t="s">
        <v>12</v>
      </c>
      <c r="C17" s="50"/>
      <c r="D17" s="60"/>
      <c r="E17" s="60"/>
      <c r="F17" s="187"/>
      <c r="G17" s="187"/>
      <c r="H17" s="187"/>
      <c r="I17" s="187"/>
      <c r="J17" s="187"/>
      <c r="K17" s="187"/>
      <c r="L17" s="187"/>
      <c r="M17" s="187"/>
      <c r="N17" s="188"/>
    </row>
    <row r="18" spans="1:14" ht="5.25" customHeight="1" x14ac:dyDescent="0.2">
      <c r="A18" s="49"/>
      <c r="B18" s="50"/>
      <c r="C18" s="50"/>
      <c r="D18" s="60"/>
      <c r="E18" s="60"/>
      <c r="F18" s="187"/>
      <c r="G18" s="187"/>
      <c r="H18" s="187"/>
      <c r="I18" s="187"/>
      <c r="J18" s="187"/>
      <c r="K18" s="187"/>
      <c r="L18" s="187"/>
      <c r="M18" s="187"/>
      <c r="N18" s="188"/>
    </row>
    <row r="19" spans="1:14" ht="6" customHeight="1" thickBot="1" x14ac:dyDescent="0.25">
      <c r="A19" s="62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4"/>
    </row>
    <row r="20" spans="1:14" ht="13.5" customHeight="1" thickTop="1" thickBot="1" x14ac:dyDescent="0.25"/>
    <row r="21" spans="1:14" s="69" customFormat="1" ht="13.5" customHeight="1" thickTop="1" x14ac:dyDescent="0.2">
      <c r="A21" s="65" t="s">
        <v>13</v>
      </c>
      <c r="B21" s="66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8"/>
    </row>
    <row r="22" spans="1:14" x14ac:dyDescent="0.2">
      <c r="A22" s="182" t="s">
        <v>114</v>
      </c>
      <c r="B22" s="189"/>
      <c r="C22" s="189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90"/>
    </row>
    <row r="23" spans="1:14" ht="13.5" thickBot="1" x14ac:dyDescent="0.25">
      <c r="A23" s="70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2"/>
    </row>
    <row r="24" spans="1:14" ht="14.25" thickTop="1" thickBot="1" x14ac:dyDescent="0.25"/>
    <row r="25" spans="1:14" s="69" customFormat="1" ht="13.5" customHeight="1" thickTop="1" x14ac:dyDescent="0.2">
      <c r="A25" s="65" t="s">
        <v>4</v>
      </c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8"/>
    </row>
    <row r="26" spans="1:14" ht="12.75" customHeight="1" x14ac:dyDescent="0.2">
      <c r="A26" s="182" t="s">
        <v>51</v>
      </c>
      <c r="B26" s="189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90"/>
    </row>
    <row r="27" spans="1:14" ht="13.5" thickBot="1" x14ac:dyDescent="0.25">
      <c r="A27" s="191"/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3"/>
    </row>
    <row r="28" spans="1:14" ht="6" customHeight="1" thickTop="1" thickBot="1" x14ac:dyDescent="0.25"/>
    <row r="29" spans="1:14" s="69" customFormat="1" ht="13.5" customHeight="1" thickTop="1" x14ac:dyDescent="0.2">
      <c r="A29" s="65" t="s">
        <v>6</v>
      </c>
      <c r="B29" s="66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8"/>
    </row>
    <row r="30" spans="1:14" ht="12.75" customHeight="1" x14ac:dyDescent="0.2">
      <c r="A30" s="182" t="s">
        <v>52</v>
      </c>
      <c r="B30" s="183"/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4"/>
    </row>
    <row r="31" spans="1:14" ht="15" customHeight="1" x14ac:dyDescent="0.2">
      <c r="A31" s="182"/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4"/>
    </row>
    <row r="32" spans="1:14" ht="12.75" customHeight="1" x14ac:dyDescent="0.2">
      <c r="A32" s="182" t="s">
        <v>53</v>
      </c>
      <c r="B32" s="183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4"/>
    </row>
    <row r="33" spans="1:14" ht="12.75" customHeight="1" x14ac:dyDescent="0.2">
      <c r="A33" s="182" t="s">
        <v>54</v>
      </c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4"/>
    </row>
    <row r="34" spans="1:14" ht="14.25" customHeight="1" x14ac:dyDescent="0.2">
      <c r="A34" s="182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4"/>
    </row>
    <row r="35" spans="1:14" ht="14.25" customHeight="1" x14ac:dyDescent="0.2">
      <c r="A35" s="182" t="s">
        <v>55</v>
      </c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4"/>
    </row>
    <row r="36" spans="1:14" ht="14.25" customHeight="1" x14ac:dyDescent="0.2">
      <c r="A36" s="182" t="s">
        <v>68</v>
      </c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4"/>
    </row>
    <row r="37" spans="1:14" ht="14.25" customHeight="1" thickBot="1" x14ac:dyDescent="0.25">
      <c r="A37" s="191" t="s">
        <v>67</v>
      </c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200"/>
    </row>
    <row r="38" spans="1:14" ht="6.75" customHeight="1" thickTop="1" thickBot="1" x14ac:dyDescent="0.25">
      <c r="A38" s="73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5"/>
    </row>
    <row r="39" spans="1:14" s="69" customFormat="1" ht="13.5" customHeight="1" thickTop="1" x14ac:dyDescent="0.2">
      <c r="A39" s="65" t="s">
        <v>56</v>
      </c>
      <c r="B39" s="66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8"/>
    </row>
    <row r="40" spans="1:14" ht="12.75" customHeight="1" x14ac:dyDescent="0.2">
      <c r="A40" s="182" t="s">
        <v>69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4"/>
    </row>
    <row r="41" spans="1:14" x14ac:dyDescent="0.2">
      <c r="A41" s="182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4"/>
    </row>
    <row r="42" spans="1:14" x14ac:dyDescent="0.2">
      <c r="A42" s="182" t="s">
        <v>57</v>
      </c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4"/>
    </row>
    <row r="43" spans="1:14" x14ac:dyDescent="0.2">
      <c r="A43" s="182"/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4"/>
    </row>
    <row r="44" spans="1:14" x14ac:dyDescent="0.2">
      <c r="A44" s="182" t="s">
        <v>58</v>
      </c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4"/>
    </row>
    <row r="45" spans="1:14" x14ac:dyDescent="0.2">
      <c r="A45" s="182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4"/>
    </row>
    <row r="46" spans="1:14" ht="13.5" customHeight="1" x14ac:dyDescent="0.2">
      <c r="A46" s="73"/>
      <c r="G46" s="76"/>
      <c r="H46" s="74"/>
      <c r="I46" s="74"/>
      <c r="J46" s="76"/>
      <c r="K46" s="74"/>
      <c r="L46" s="74"/>
      <c r="N46" s="75"/>
    </row>
    <row r="47" spans="1:14" ht="13.5" customHeight="1" x14ac:dyDescent="0.2">
      <c r="A47" s="73"/>
      <c r="G47" s="74"/>
      <c r="H47" s="74"/>
      <c r="I47" s="74"/>
      <c r="J47" s="74"/>
      <c r="K47" s="74"/>
      <c r="L47" s="74"/>
      <c r="N47" s="75"/>
    </row>
    <row r="48" spans="1:14" ht="13.5" customHeight="1" x14ac:dyDescent="0.2">
      <c r="A48" s="77"/>
      <c r="B48" s="74"/>
      <c r="C48" s="74"/>
      <c r="D48" s="74"/>
      <c r="E48" s="76"/>
      <c r="F48" s="74"/>
      <c r="G48" s="74"/>
      <c r="H48" s="74"/>
      <c r="I48" s="78"/>
      <c r="J48" s="74"/>
      <c r="K48" s="74"/>
      <c r="L48" s="78"/>
      <c r="N48" s="75"/>
    </row>
    <row r="49" spans="1:14" ht="13.5" customHeight="1" x14ac:dyDescent="0.2">
      <c r="A49" s="73"/>
      <c r="B49" s="74"/>
      <c r="C49" s="79"/>
      <c r="D49" s="74"/>
      <c r="E49" s="74"/>
      <c r="F49" s="74"/>
      <c r="G49" s="80" t="s">
        <v>59</v>
      </c>
      <c r="H49" s="74"/>
      <c r="I49" s="74"/>
      <c r="K49" s="74"/>
      <c r="L49" s="74"/>
      <c r="N49" s="75"/>
    </row>
    <row r="50" spans="1:14" ht="13.5" customHeight="1" x14ac:dyDescent="0.2">
      <c r="A50" s="73"/>
      <c r="B50" s="74"/>
      <c r="C50" s="79"/>
      <c r="D50" s="74"/>
      <c r="E50" s="74"/>
      <c r="F50" s="74"/>
      <c r="G50" s="74"/>
      <c r="H50" s="76"/>
      <c r="I50" s="74"/>
      <c r="J50" s="74"/>
      <c r="K50" s="76"/>
      <c r="L50" s="74"/>
      <c r="N50" s="75"/>
    </row>
    <row r="51" spans="1:14" ht="15" customHeight="1" x14ac:dyDescent="0.2">
      <c r="A51" s="73"/>
      <c r="B51" s="74"/>
      <c r="C51" s="79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5"/>
    </row>
    <row r="52" spans="1:14" x14ac:dyDescent="0.2">
      <c r="A52" s="73"/>
      <c r="B52" s="74"/>
      <c r="C52" s="79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5"/>
    </row>
    <row r="53" spans="1:14" x14ac:dyDescent="0.2">
      <c r="A53" s="73"/>
      <c r="B53" s="74"/>
      <c r="C53" s="79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5"/>
    </row>
    <row r="54" spans="1:14" ht="15.75" customHeight="1" x14ac:dyDescent="0.2">
      <c r="A54" s="182" t="s">
        <v>60</v>
      </c>
      <c r="B54" s="183"/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4"/>
    </row>
    <row r="55" spans="1:14" ht="10.5" customHeight="1" x14ac:dyDescent="0.2">
      <c r="A55" s="73"/>
      <c r="B55" s="74"/>
      <c r="C55" s="79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5"/>
    </row>
    <row r="56" spans="1:14" x14ac:dyDescent="0.2">
      <c r="A56" s="196" t="s">
        <v>71</v>
      </c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8"/>
    </row>
    <row r="57" spans="1:14" x14ac:dyDescent="0.2">
      <c r="A57" s="73"/>
      <c r="B57" s="74"/>
      <c r="C57" s="79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5"/>
    </row>
    <row r="58" spans="1:14" ht="15.75" customHeight="1" x14ac:dyDescent="0.2">
      <c r="A58" s="182" t="s">
        <v>70</v>
      </c>
      <c r="B58" s="183"/>
      <c r="C58" s="183"/>
      <c r="D58" s="183"/>
      <c r="E58" s="183"/>
      <c r="F58" s="183"/>
      <c r="G58" s="183"/>
      <c r="H58" s="183"/>
      <c r="I58" s="81"/>
      <c r="J58" s="81"/>
      <c r="K58" s="81"/>
      <c r="L58" s="81"/>
      <c r="M58" s="81"/>
      <c r="N58" s="82"/>
    </row>
    <row r="59" spans="1:14" x14ac:dyDescent="0.2">
      <c r="A59" s="182"/>
      <c r="B59" s="183"/>
      <c r="C59" s="183"/>
      <c r="D59" s="183"/>
      <c r="E59" s="183"/>
      <c r="F59" s="183"/>
      <c r="G59" s="183"/>
      <c r="H59" s="183"/>
      <c r="I59" s="83"/>
      <c r="J59" s="83"/>
      <c r="K59" s="83"/>
      <c r="L59" s="83"/>
      <c r="M59" s="83"/>
      <c r="N59" s="84"/>
    </row>
    <row r="60" spans="1:14" x14ac:dyDescent="0.2">
      <c r="A60" s="182"/>
      <c r="B60" s="183"/>
      <c r="C60" s="183"/>
      <c r="D60" s="183"/>
      <c r="E60" s="183"/>
      <c r="F60" s="183"/>
      <c r="G60" s="183"/>
      <c r="H60" s="183"/>
      <c r="I60" s="83"/>
      <c r="J60" s="83"/>
      <c r="K60" s="83"/>
      <c r="L60" s="83"/>
      <c r="M60" s="83"/>
      <c r="N60" s="84"/>
    </row>
    <row r="61" spans="1:14" ht="9" customHeight="1" x14ac:dyDescent="0.2">
      <c r="A61" s="182"/>
      <c r="B61" s="183"/>
      <c r="C61" s="183"/>
      <c r="D61" s="183"/>
      <c r="E61" s="183"/>
      <c r="F61" s="183"/>
      <c r="G61" s="183"/>
      <c r="H61" s="183"/>
      <c r="I61" s="83"/>
      <c r="J61" s="83"/>
      <c r="K61" s="83"/>
      <c r="L61" s="83"/>
      <c r="M61" s="83"/>
      <c r="N61" s="84"/>
    </row>
    <row r="62" spans="1:14" ht="9.75" customHeight="1" thickBot="1" x14ac:dyDescent="0.25">
      <c r="A62" s="62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4"/>
    </row>
    <row r="63" spans="1:14" ht="7.5" customHeight="1" thickTop="1" thickBot="1" x14ac:dyDescent="0.25"/>
    <row r="64" spans="1:14" s="69" customFormat="1" ht="13.5" customHeight="1" thickTop="1" x14ac:dyDescent="0.2">
      <c r="A64" s="65" t="s">
        <v>7</v>
      </c>
      <c r="B64" s="6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8"/>
    </row>
    <row r="65" spans="1:14" ht="12.75" customHeight="1" x14ac:dyDescent="0.2">
      <c r="A65" s="182" t="s">
        <v>145</v>
      </c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4"/>
    </row>
    <row r="66" spans="1:14" ht="12.75" customHeight="1" x14ac:dyDescent="0.2">
      <c r="A66" s="182" t="s">
        <v>61</v>
      </c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  <c r="N66" s="184"/>
    </row>
    <row r="67" spans="1:14" ht="9.75" customHeight="1" thickBot="1" x14ac:dyDescent="0.25">
      <c r="A67" s="62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4"/>
    </row>
    <row r="68" spans="1:14" ht="11.25" customHeight="1" thickTop="1" thickBot="1" x14ac:dyDescent="0.25">
      <c r="A68" s="85"/>
    </row>
    <row r="69" spans="1:14" s="69" customFormat="1" ht="13.5" customHeight="1" thickTop="1" x14ac:dyDescent="0.2">
      <c r="A69" s="65" t="s">
        <v>5</v>
      </c>
      <c r="B69" s="66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8"/>
    </row>
    <row r="70" spans="1:14" x14ac:dyDescent="0.2">
      <c r="A70" s="182" t="s">
        <v>62</v>
      </c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4"/>
    </row>
    <row r="71" spans="1:14" ht="13.5" thickBot="1" x14ac:dyDescent="0.25">
      <c r="A71" s="103" t="s">
        <v>63</v>
      </c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2"/>
    </row>
    <row r="72" spans="1:14" ht="53.25" customHeight="1" thickTop="1" thickBot="1" x14ac:dyDescent="0.25">
      <c r="A72" s="107" t="s">
        <v>143</v>
      </c>
      <c r="N72" s="106"/>
    </row>
    <row r="73" spans="1:14" ht="14.25" thickTop="1" x14ac:dyDescent="0.25">
      <c r="A73" s="204"/>
      <c r="B73" s="205"/>
      <c r="C73" s="206"/>
      <c r="D73" s="207"/>
      <c r="E73" s="205"/>
      <c r="F73" s="206"/>
      <c r="G73" s="207"/>
      <c r="H73" s="207"/>
      <c r="I73" s="207"/>
      <c r="J73" s="205"/>
      <c r="K73" s="86"/>
      <c r="L73" s="87"/>
      <c r="M73" s="194"/>
      <c r="N73" s="195"/>
    </row>
    <row r="74" spans="1:14" ht="13.5" x14ac:dyDescent="0.25">
      <c r="A74" s="88"/>
      <c r="B74" s="89"/>
      <c r="C74" s="201"/>
      <c r="D74" s="202"/>
      <c r="E74" s="203"/>
      <c r="F74" s="201"/>
      <c r="G74" s="202"/>
      <c r="H74" s="202"/>
      <c r="I74" s="202"/>
      <c r="J74" s="203"/>
      <c r="K74" s="90"/>
      <c r="L74" s="91"/>
      <c r="M74" s="92"/>
      <c r="N74" s="93"/>
    </row>
    <row r="75" spans="1:14" ht="13.5" x14ac:dyDescent="0.25">
      <c r="A75" s="208"/>
      <c r="B75" s="203"/>
      <c r="C75" s="201"/>
      <c r="D75" s="202"/>
      <c r="E75" s="203"/>
      <c r="F75" s="201"/>
      <c r="G75" s="202"/>
      <c r="H75" s="202"/>
      <c r="I75" s="202"/>
      <c r="J75" s="203"/>
      <c r="K75" s="94"/>
      <c r="L75" s="95"/>
      <c r="M75" s="209"/>
      <c r="N75" s="210"/>
    </row>
    <row r="76" spans="1:14" s="69" customFormat="1" x14ac:dyDescent="0.2">
      <c r="A76" s="211" t="s">
        <v>64</v>
      </c>
      <c r="B76" s="212"/>
      <c r="C76" s="213" t="s">
        <v>111</v>
      </c>
      <c r="D76" s="214"/>
      <c r="E76" s="212"/>
      <c r="F76" s="213" t="s">
        <v>65</v>
      </c>
      <c r="G76" s="214"/>
      <c r="H76" s="214"/>
      <c r="I76" s="214"/>
      <c r="J76" s="212"/>
      <c r="K76" s="96" t="s">
        <v>66</v>
      </c>
      <c r="L76" s="97" t="s">
        <v>146</v>
      </c>
      <c r="M76" s="97" t="s">
        <v>146</v>
      </c>
      <c r="N76" s="97"/>
    </row>
    <row r="77" spans="1:14" s="69" customFormat="1" ht="13.5" customHeight="1" x14ac:dyDescent="0.2">
      <c r="A77" s="215" t="s">
        <v>2</v>
      </c>
      <c r="B77" s="216"/>
      <c r="C77" s="217" t="s">
        <v>3</v>
      </c>
      <c r="D77" s="218"/>
      <c r="E77" s="216"/>
      <c r="F77" s="217" t="s">
        <v>26</v>
      </c>
      <c r="G77" s="218"/>
      <c r="H77" s="218"/>
      <c r="I77" s="218"/>
      <c r="J77" s="216"/>
      <c r="K77" s="98" t="s">
        <v>23</v>
      </c>
      <c r="L77" s="98" t="s">
        <v>24</v>
      </c>
      <c r="M77" s="217" t="s">
        <v>25</v>
      </c>
      <c r="N77" s="219"/>
    </row>
    <row r="78" spans="1:14" s="69" customFormat="1" ht="13.5" customHeight="1" thickBot="1" x14ac:dyDescent="0.25">
      <c r="A78" s="220" t="s">
        <v>8</v>
      </c>
      <c r="B78" s="221"/>
      <c r="C78" s="221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2"/>
    </row>
    <row r="79" spans="1:14" ht="14.25" thickTop="1" x14ac:dyDescent="0.25">
      <c r="A79" s="99" t="s">
        <v>21</v>
      </c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100"/>
      <c r="N79" s="100" t="s">
        <v>22</v>
      </c>
    </row>
  </sheetData>
  <sheetProtection insertRows="0" selectLockedCells="1"/>
  <mergeCells count="50">
    <mergeCell ref="A77:B77"/>
    <mergeCell ref="C77:E77"/>
    <mergeCell ref="F77:J77"/>
    <mergeCell ref="M77:N77"/>
    <mergeCell ref="A78:N78"/>
    <mergeCell ref="A75:B75"/>
    <mergeCell ref="C75:E75"/>
    <mergeCell ref="F75:J75"/>
    <mergeCell ref="M75:N75"/>
    <mergeCell ref="A76:B76"/>
    <mergeCell ref="C76:E76"/>
    <mergeCell ref="F76:J76"/>
    <mergeCell ref="C74:E74"/>
    <mergeCell ref="F74:J74"/>
    <mergeCell ref="A73:B73"/>
    <mergeCell ref="C73:E73"/>
    <mergeCell ref="F73:J73"/>
    <mergeCell ref="M73:N73"/>
    <mergeCell ref="A70:N70"/>
    <mergeCell ref="A66:N66"/>
    <mergeCell ref="A32:N32"/>
    <mergeCell ref="A33:N34"/>
    <mergeCell ref="A35:N35"/>
    <mergeCell ref="A40:N41"/>
    <mergeCell ref="A42:N43"/>
    <mergeCell ref="A44:N45"/>
    <mergeCell ref="A54:N54"/>
    <mergeCell ref="A56:N56"/>
    <mergeCell ref="A58:H61"/>
    <mergeCell ref="A65:N65"/>
    <mergeCell ref="A36:N36"/>
    <mergeCell ref="A37:N37"/>
    <mergeCell ref="A30:N31"/>
    <mergeCell ref="D9:M9"/>
    <mergeCell ref="D11:H11"/>
    <mergeCell ref="K11:M11"/>
    <mergeCell ref="D13:H13"/>
    <mergeCell ref="F15:G15"/>
    <mergeCell ref="J15:M15"/>
    <mergeCell ref="F17:N18"/>
    <mergeCell ref="A22:N22"/>
    <mergeCell ref="A26:N26"/>
    <mergeCell ref="A27:N27"/>
    <mergeCell ref="H7:I7"/>
    <mergeCell ref="J7:M7"/>
    <mergeCell ref="F1:J4"/>
    <mergeCell ref="K1:N1"/>
    <mergeCell ref="K2:N2"/>
    <mergeCell ref="K3:N3"/>
    <mergeCell ref="K4:N4"/>
  </mergeCells>
  <printOptions horizontalCentered="1"/>
  <pageMargins left="0.39370078740157483" right="0.31496062992125984" top="0.35433070866141736" bottom="0.23622047244094491" header="0.35433070866141736" footer="0.23622047244094491"/>
  <pageSetup scale="76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O50"/>
  <sheetViews>
    <sheetView topLeftCell="C10" workbookViewId="0">
      <selection activeCell="E36" sqref="E36"/>
    </sheetView>
  </sheetViews>
  <sheetFormatPr defaultRowHeight="12.75" x14ac:dyDescent="0.2"/>
  <cols>
    <col min="1" max="1" width="16.140625" customWidth="1"/>
    <col min="4" max="4" width="17.85546875" customWidth="1"/>
    <col min="5" max="5" width="13.85546875" style="121" customWidth="1"/>
    <col min="6" max="6" width="9.140625" style="121"/>
  </cols>
  <sheetData>
    <row r="1" spans="1:15" x14ac:dyDescent="0.2">
      <c r="A1" t="s">
        <v>72</v>
      </c>
      <c r="K1" s="108" t="s">
        <v>91</v>
      </c>
    </row>
    <row r="2" spans="1:15" x14ac:dyDescent="0.2">
      <c r="E2" s="122" t="s">
        <v>83</v>
      </c>
      <c r="J2" s="108" t="s">
        <v>88</v>
      </c>
    </row>
    <row r="3" spans="1:15" x14ac:dyDescent="0.2">
      <c r="A3" s="119" t="s">
        <v>74</v>
      </c>
      <c r="D3" s="123" t="s">
        <v>73</v>
      </c>
      <c r="E3" s="124" t="s">
        <v>84</v>
      </c>
      <c r="F3" s="124" t="s">
        <v>85</v>
      </c>
      <c r="G3" s="110"/>
      <c r="J3" s="131" t="s">
        <v>89</v>
      </c>
      <c r="K3" s="110" t="s">
        <v>76</v>
      </c>
      <c r="L3" s="110" t="s">
        <v>75</v>
      </c>
      <c r="M3" s="110" t="s">
        <v>77</v>
      </c>
      <c r="N3" s="110" t="s">
        <v>78</v>
      </c>
      <c r="O3" s="110" t="s">
        <v>79</v>
      </c>
    </row>
    <row r="4" spans="1:15" x14ac:dyDescent="0.2">
      <c r="A4" t="s">
        <v>76</v>
      </c>
      <c r="D4" t="s">
        <v>81</v>
      </c>
      <c r="E4" s="126" t="s">
        <v>76</v>
      </c>
      <c r="F4" s="126">
        <v>-147</v>
      </c>
      <c r="G4" s="125"/>
      <c r="I4" s="108" t="s">
        <v>90</v>
      </c>
      <c r="J4" s="110" t="s">
        <v>76</v>
      </c>
      <c r="K4" s="110">
        <v>0</v>
      </c>
      <c r="L4" s="110">
        <v>0</v>
      </c>
      <c r="M4" s="110">
        <v>0</v>
      </c>
      <c r="N4" s="130">
        <v>3170</v>
      </c>
      <c r="O4" s="130">
        <v>-811</v>
      </c>
    </row>
    <row r="5" spans="1:15" x14ac:dyDescent="0.2">
      <c r="A5" t="s">
        <v>75</v>
      </c>
      <c r="D5" t="s">
        <v>118</v>
      </c>
      <c r="E5" s="126" t="s">
        <v>76</v>
      </c>
      <c r="F5" s="126">
        <v>100.5</v>
      </c>
      <c r="G5" s="125"/>
      <c r="J5" s="110" t="s">
        <v>75</v>
      </c>
      <c r="K5" s="110">
        <v>0</v>
      </c>
      <c r="L5" s="110">
        <v>0</v>
      </c>
      <c r="M5" s="110">
        <v>0</v>
      </c>
      <c r="N5" s="130">
        <v>1920</v>
      </c>
      <c r="O5" s="130">
        <v>-811</v>
      </c>
    </row>
    <row r="6" spans="1:15" x14ac:dyDescent="0.2">
      <c r="A6" t="s">
        <v>77</v>
      </c>
      <c r="D6" t="s">
        <v>80</v>
      </c>
      <c r="E6" s="126" t="s">
        <v>76</v>
      </c>
      <c r="F6" s="126">
        <v>30.95</v>
      </c>
      <c r="G6" s="125"/>
      <c r="J6" s="110" t="s">
        <v>77</v>
      </c>
      <c r="K6" s="110">
        <v>0</v>
      </c>
      <c r="L6" s="110">
        <v>0</v>
      </c>
      <c r="M6" s="110">
        <v>0</v>
      </c>
      <c r="N6" s="130">
        <v>2550</v>
      </c>
      <c r="O6" s="130">
        <v>-811</v>
      </c>
    </row>
    <row r="7" spans="1:15" x14ac:dyDescent="0.2">
      <c r="A7" t="s">
        <v>78</v>
      </c>
      <c r="D7" t="s">
        <v>141</v>
      </c>
      <c r="E7" s="126" t="s">
        <v>75</v>
      </c>
      <c r="F7" s="126">
        <v>-82.45</v>
      </c>
      <c r="G7" s="125"/>
      <c r="J7" s="110" t="s">
        <v>78</v>
      </c>
      <c r="K7" s="110">
        <f t="array" ref="K7:M8">TRANSPOSE(N4:O6)</f>
        <v>3170</v>
      </c>
      <c r="L7" s="110">
        <v>1920</v>
      </c>
      <c r="M7" s="110">
        <v>2550</v>
      </c>
      <c r="N7" s="130">
        <v>2550</v>
      </c>
      <c r="O7" s="130">
        <v>-811</v>
      </c>
    </row>
    <row r="8" spans="1:15" x14ac:dyDescent="0.2">
      <c r="A8" t="s">
        <v>79</v>
      </c>
      <c r="D8" t="s">
        <v>119</v>
      </c>
      <c r="E8" s="126" t="s">
        <v>77</v>
      </c>
      <c r="F8" s="126">
        <v>32.278009033203098</v>
      </c>
      <c r="G8" s="125"/>
      <c r="J8" s="110" t="s">
        <v>79</v>
      </c>
      <c r="K8" s="110">
        <v>-811</v>
      </c>
      <c r="L8" s="110">
        <v>-811</v>
      </c>
      <c r="M8" s="110">
        <v>-811</v>
      </c>
      <c r="N8" s="129">
        <f>O7</f>
        <v>-811</v>
      </c>
      <c r="O8" s="130">
        <v>-811</v>
      </c>
    </row>
    <row r="9" spans="1:15" x14ac:dyDescent="0.2">
      <c r="D9" t="s">
        <v>120</v>
      </c>
      <c r="E9" s="126" t="s">
        <v>77</v>
      </c>
      <c r="F9" s="126">
        <v>96.748010253906301</v>
      </c>
      <c r="G9" s="125"/>
    </row>
    <row r="10" spans="1:15" x14ac:dyDescent="0.2">
      <c r="D10" t="s">
        <v>121</v>
      </c>
      <c r="E10" s="126" t="s">
        <v>77</v>
      </c>
      <c r="F10" s="126">
        <v>134.94600830078099</v>
      </c>
      <c r="G10" s="127"/>
      <c r="J10" s="108" t="s">
        <v>92</v>
      </c>
    </row>
    <row r="11" spans="1:15" x14ac:dyDescent="0.2">
      <c r="D11" t="s">
        <v>122</v>
      </c>
      <c r="E11" s="126" t="s">
        <v>77</v>
      </c>
      <c r="F11" s="120">
        <v>152.04900512695301</v>
      </c>
      <c r="G11" s="127"/>
    </row>
    <row r="12" spans="1:15" x14ac:dyDescent="0.2">
      <c r="D12" t="s">
        <v>123</v>
      </c>
      <c r="E12" s="126" t="s">
        <v>77</v>
      </c>
      <c r="F12" s="120">
        <v>187.24801025390599</v>
      </c>
      <c r="G12" s="127"/>
    </row>
    <row r="13" spans="1:15" x14ac:dyDescent="0.2">
      <c r="D13" t="s">
        <v>124</v>
      </c>
      <c r="E13" s="126" t="s">
        <v>77</v>
      </c>
      <c r="F13" s="120">
        <v>196.45000610351599</v>
      </c>
      <c r="G13" s="127"/>
      <c r="K13" s="108" t="s">
        <v>91</v>
      </c>
    </row>
    <row r="14" spans="1:15" x14ac:dyDescent="0.2">
      <c r="D14" t="s">
        <v>125</v>
      </c>
      <c r="E14" s="126" t="s">
        <v>77</v>
      </c>
      <c r="F14" s="120">
        <v>234.74801025390599</v>
      </c>
      <c r="G14" s="127"/>
      <c r="J14" s="108" t="s">
        <v>88</v>
      </c>
    </row>
    <row r="15" spans="1:15" x14ac:dyDescent="0.2">
      <c r="D15" t="s">
        <v>127</v>
      </c>
      <c r="E15" s="126" t="s">
        <v>77</v>
      </c>
      <c r="F15" s="120">
        <v>267.00802001953099</v>
      </c>
      <c r="G15" s="127"/>
      <c r="J15" s="131" t="s">
        <v>93</v>
      </c>
      <c r="K15" s="110" t="s">
        <v>76</v>
      </c>
      <c r="L15" s="110" t="s">
        <v>75</v>
      </c>
      <c r="M15" s="110" t="s">
        <v>77</v>
      </c>
      <c r="N15" s="110" t="s">
        <v>78</v>
      </c>
      <c r="O15" s="110" t="s">
        <v>79</v>
      </c>
    </row>
    <row r="16" spans="1:15" x14ac:dyDescent="0.2">
      <c r="D16" t="s">
        <v>126</v>
      </c>
      <c r="E16" s="126" t="s">
        <v>77</v>
      </c>
      <c r="F16" s="120">
        <v>295.44802246093798</v>
      </c>
      <c r="G16" s="127"/>
      <c r="I16" s="108" t="s">
        <v>90</v>
      </c>
      <c r="J16" s="110" t="s">
        <v>76</v>
      </c>
      <c r="K16" s="110">
        <v>0</v>
      </c>
      <c r="L16" s="110">
        <v>0</v>
      </c>
      <c r="M16" s="110">
        <v>0</v>
      </c>
      <c r="N16" s="130">
        <v>-1.6</v>
      </c>
      <c r="O16" s="130">
        <v>0.69</v>
      </c>
    </row>
    <row r="17" spans="4:15" x14ac:dyDescent="0.2">
      <c r="D17" t="s">
        <v>128</v>
      </c>
      <c r="E17" s="126" t="s">
        <v>77</v>
      </c>
      <c r="F17" s="120">
        <v>321.44802246093798</v>
      </c>
      <c r="G17" s="127"/>
      <c r="J17" s="110" t="s">
        <v>75</v>
      </c>
      <c r="K17" s="110">
        <v>0</v>
      </c>
      <c r="L17" s="110">
        <v>0</v>
      </c>
      <c r="M17" s="110">
        <v>0</v>
      </c>
      <c r="N17" s="130">
        <v>-1.51</v>
      </c>
      <c r="O17" s="130">
        <v>0.69</v>
      </c>
    </row>
    <row r="18" spans="4:15" x14ac:dyDescent="0.2">
      <c r="D18" t="s">
        <v>129</v>
      </c>
      <c r="E18" s="126" t="s">
        <v>77</v>
      </c>
      <c r="F18" s="120">
        <v>344.44802246093798</v>
      </c>
      <c r="G18" s="127"/>
      <c r="J18" s="110" t="s">
        <v>77</v>
      </c>
      <c r="K18" s="110">
        <v>0</v>
      </c>
      <c r="L18" s="110">
        <v>0</v>
      </c>
      <c r="M18" s="110">
        <v>0</v>
      </c>
      <c r="N18" s="130">
        <v>-1.5</v>
      </c>
      <c r="O18" s="130">
        <v>0.69</v>
      </c>
    </row>
    <row r="19" spans="4:15" x14ac:dyDescent="0.2">
      <c r="D19" t="s">
        <v>142</v>
      </c>
      <c r="E19" s="126" t="s">
        <v>77</v>
      </c>
      <c r="F19" s="120">
        <v>365.149011230469</v>
      </c>
      <c r="G19" s="127"/>
      <c r="J19" s="110" t="s">
        <v>78</v>
      </c>
      <c r="K19" s="110">
        <f t="array" ref="K19:M20">TRANSPOSE(N16:O18)</f>
        <v>-1.6</v>
      </c>
      <c r="L19" s="110">
        <v>-1.51</v>
      </c>
      <c r="M19" s="110">
        <v>-1.5</v>
      </c>
      <c r="N19" s="130">
        <v>-1.5</v>
      </c>
      <c r="O19" s="130">
        <v>0.69</v>
      </c>
    </row>
    <row r="20" spans="4:15" x14ac:dyDescent="0.2">
      <c r="D20" t="s">
        <v>130</v>
      </c>
      <c r="E20" s="126" t="s">
        <v>77</v>
      </c>
      <c r="F20" s="120">
        <v>385.149011230469</v>
      </c>
      <c r="G20" s="127"/>
      <c r="J20" s="110" t="s">
        <v>79</v>
      </c>
      <c r="K20" s="110">
        <v>0.69</v>
      </c>
      <c r="L20" s="110">
        <v>0.69</v>
      </c>
      <c r="M20" s="110">
        <v>0.69</v>
      </c>
      <c r="N20" s="129">
        <f>O19</f>
        <v>0.69</v>
      </c>
      <c r="O20" s="130">
        <v>0.69</v>
      </c>
    </row>
    <row r="21" spans="4:15" x14ac:dyDescent="0.2">
      <c r="D21" t="s">
        <v>131</v>
      </c>
      <c r="E21" s="126" t="s">
        <v>77</v>
      </c>
      <c r="F21" s="120">
        <v>402.649011230469</v>
      </c>
      <c r="G21" s="127"/>
    </row>
    <row r="22" spans="4:15" x14ac:dyDescent="0.2">
      <c r="D22" t="s">
        <v>132</v>
      </c>
      <c r="E22" s="126" t="s">
        <v>77</v>
      </c>
      <c r="F22" s="120">
        <v>288.94802246093798</v>
      </c>
      <c r="G22" s="127"/>
    </row>
    <row r="23" spans="4:15" x14ac:dyDescent="0.2">
      <c r="D23" t="s">
        <v>133</v>
      </c>
      <c r="E23" s="126" t="s">
        <v>77</v>
      </c>
      <c r="F23" s="120">
        <v>318.649011230469</v>
      </c>
      <c r="G23" s="127"/>
    </row>
    <row r="24" spans="4:15" x14ac:dyDescent="0.2">
      <c r="D24" t="s">
        <v>134</v>
      </c>
      <c r="E24" s="126" t="s">
        <v>77</v>
      </c>
      <c r="F24" s="120">
        <v>343.94802246093798</v>
      </c>
      <c r="G24" s="127"/>
    </row>
    <row r="25" spans="4:15" x14ac:dyDescent="0.2">
      <c r="D25" t="s">
        <v>135</v>
      </c>
      <c r="E25" s="126" t="s">
        <v>77</v>
      </c>
      <c r="F25" s="120">
        <v>343.899011230469</v>
      </c>
      <c r="G25" s="127"/>
    </row>
    <row r="26" spans="4:15" x14ac:dyDescent="0.2">
      <c r="D26" t="s">
        <v>144</v>
      </c>
      <c r="E26" s="126" t="s">
        <v>77</v>
      </c>
      <c r="F26" s="120">
        <v>375.94802246093798</v>
      </c>
      <c r="G26" s="127"/>
    </row>
    <row r="27" spans="4:15" x14ac:dyDescent="0.2">
      <c r="D27" t="s">
        <v>136</v>
      </c>
      <c r="E27" s="126" t="s">
        <v>77</v>
      </c>
      <c r="F27" s="120">
        <v>238.45000610351599</v>
      </c>
      <c r="G27" s="127"/>
    </row>
    <row r="28" spans="4:15" x14ac:dyDescent="0.2">
      <c r="D28" t="s">
        <v>137</v>
      </c>
      <c r="E28" s="126" t="s">
        <v>77</v>
      </c>
      <c r="F28" s="120">
        <v>259.55001220703099</v>
      </c>
    </row>
    <row r="29" spans="4:15" x14ac:dyDescent="0.2">
      <c r="D29" t="s">
        <v>138</v>
      </c>
      <c r="E29" s="126" t="s">
        <v>77</v>
      </c>
      <c r="F29" s="120">
        <v>280.05001220703099</v>
      </c>
      <c r="J29" s="119" t="s">
        <v>115</v>
      </c>
    </row>
    <row r="30" spans="4:15" x14ac:dyDescent="0.2">
      <c r="D30" t="s">
        <v>139</v>
      </c>
      <c r="E30" s="126" t="s">
        <v>77</v>
      </c>
      <c r="F30" s="120">
        <v>298.94802246093798</v>
      </c>
    </row>
    <row r="31" spans="4:15" x14ac:dyDescent="0.2">
      <c r="D31" t="s">
        <v>82</v>
      </c>
      <c r="E31" s="126" t="s">
        <v>76</v>
      </c>
      <c r="F31" s="121">
        <v>374.149011230469</v>
      </c>
    </row>
    <row r="32" spans="4:15" x14ac:dyDescent="0.2">
      <c r="D32" t="s">
        <v>140</v>
      </c>
      <c r="E32" s="126" t="s">
        <v>76</v>
      </c>
      <c r="F32" s="121">
        <v>453.85</v>
      </c>
    </row>
    <row r="33" spans="4:6" x14ac:dyDescent="0.2">
      <c r="D33" s="127" t="s">
        <v>31</v>
      </c>
      <c r="E33" s="128" t="s">
        <v>78</v>
      </c>
      <c r="F33" s="120">
        <v>485.52</v>
      </c>
    </row>
    <row r="34" spans="4:6" x14ac:dyDescent="0.2">
      <c r="D34" s="127" t="s">
        <v>32</v>
      </c>
      <c r="E34" s="128" t="s">
        <v>78</v>
      </c>
      <c r="F34" s="120">
        <v>520.97</v>
      </c>
    </row>
    <row r="35" spans="4:6" x14ac:dyDescent="0.2">
      <c r="D35" s="127" t="s">
        <v>33</v>
      </c>
      <c r="E35" s="128" t="s">
        <v>78</v>
      </c>
      <c r="F35" s="120">
        <v>553.67999999999995</v>
      </c>
    </row>
    <row r="36" spans="4:6" x14ac:dyDescent="0.2">
      <c r="D36" s="127" t="s">
        <v>34</v>
      </c>
      <c r="E36" s="128" t="s">
        <v>78</v>
      </c>
      <c r="F36" s="120">
        <v>586.26</v>
      </c>
    </row>
    <row r="37" spans="4:6" x14ac:dyDescent="0.2">
      <c r="D37" s="127" t="s">
        <v>35</v>
      </c>
      <c r="E37" s="128" t="s">
        <v>78</v>
      </c>
      <c r="F37" s="120">
        <v>618.35</v>
      </c>
    </row>
    <row r="38" spans="4:6" x14ac:dyDescent="0.2">
      <c r="D38" s="127" t="s">
        <v>36</v>
      </c>
      <c r="E38" s="128" t="s">
        <v>78</v>
      </c>
      <c r="F38" s="120">
        <v>640.32000000000005</v>
      </c>
    </row>
    <row r="39" spans="4:6" x14ac:dyDescent="0.2">
      <c r="D39" s="127" t="s">
        <v>37</v>
      </c>
      <c r="E39" s="128" t="s">
        <v>78</v>
      </c>
      <c r="F39" s="120">
        <v>650.66999999999996</v>
      </c>
    </row>
    <row r="40" spans="4:6" x14ac:dyDescent="0.2">
      <c r="D40" s="127" t="s">
        <v>38</v>
      </c>
      <c r="E40" s="128" t="s">
        <v>78</v>
      </c>
      <c r="F40" s="120">
        <v>661.36</v>
      </c>
    </row>
    <row r="41" spans="4:6" x14ac:dyDescent="0.2">
      <c r="D41" s="127" t="s">
        <v>39</v>
      </c>
      <c r="E41" s="128" t="s">
        <v>78</v>
      </c>
      <c r="F41" s="120">
        <v>670.76</v>
      </c>
    </row>
    <row r="42" spans="4:6" x14ac:dyDescent="0.2">
      <c r="D42" s="127" t="s">
        <v>40</v>
      </c>
      <c r="E42" s="128" t="s">
        <v>78</v>
      </c>
      <c r="F42" s="120">
        <v>696.07</v>
      </c>
    </row>
    <row r="43" spans="4:6" x14ac:dyDescent="0.2">
      <c r="D43" s="127" t="s">
        <v>41</v>
      </c>
      <c r="E43" s="128" t="s">
        <v>78</v>
      </c>
      <c r="F43" s="120">
        <v>734.11</v>
      </c>
    </row>
    <row r="44" spans="4:6" x14ac:dyDescent="0.2">
      <c r="D44" s="127" t="s">
        <v>42</v>
      </c>
      <c r="E44" s="128" t="s">
        <v>78</v>
      </c>
      <c r="F44" s="120">
        <v>766.82</v>
      </c>
    </row>
    <row r="45" spans="4:6" x14ac:dyDescent="0.2">
      <c r="D45" s="127" t="s">
        <v>43</v>
      </c>
      <c r="E45" s="128" t="s">
        <v>79</v>
      </c>
      <c r="F45" s="120">
        <v>768.1</v>
      </c>
    </row>
    <row r="46" spans="4:6" x14ac:dyDescent="0.2">
      <c r="D46" s="127" t="s">
        <v>44</v>
      </c>
      <c r="E46" s="128" t="s">
        <v>79</v>
      </c>
      <c r="F46" s="120">
        <v>792.4</v>
      </c>
    </row>
    <row r="47" spans="4:6" x14ac:dyDescent="0.2">
      <c r="D47" s="127" t="s">
        <v>45</v>
      </c>
      <c r="E47" s="128" t="s">
        <v>79</v>
      </c>
      <c r="F47" s="120">
        <v>816.25</v>
      </c>
    </row>
    <row r="48" spans="4:6" x14ac:dyDescent="0.2">
      <c r="D48" s="127" t="s">
        <v>46</v>
      </c>
      <c r="E48" s="128" t="s">
        <v>79</v>
      </c>
      <c r="F48" s="120">
        <v>842.55</v>
      </c>
    </row>
    <row r="49" spans="4:6" x14ac:dyDescent="0.2">
      <c r="D49" s="127" t="s">
        <v>47</v>
      </c>
      <c r="E49" s="128" t="s">
        <v>79</v>
      </c>
      <c r="F49" s="120">
        <v>876.45</v>
      </c>
    </row>
    <row r="50" spans="4:6" x14ac:dyDescent="0.2">
      <c r="D50" s="127" t="s">
        <v>48</v>
      </c>
      <c r="E50" s="128" t="s">
        <v>79</v>
      </c>
      <c r="F50" s="120">
        <v>902.49</v>
      </c>
    </row>
  </sheetData>
  <dataValidations count="1">
    <dataValidation type="list" allowBlank="1" showInputMessage="1" showErrorMessage="1" sqref="E4:E50">
      <formula1>LumpList</formula1>
    </dataValidation>
  </dataValidations>
  <pageMargins left="0.7" right="0.7" top="0.75" bottom="0.75" header="0.3" footer="0.3"/>
  <pageSetup scale="7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3"/>
  <sheetViews>
    <sheetView view="pageLayout" zoomScaleNormal="85" workbookViewId="0">
      <selection activeCell="L50" sqref="L50"/>
    </sheetView>
  </sheetViews>
  <sheetFormatPr defaultRowHeight="12.75" x14ac:dyDescent="0.2"/>
  <cols>
    <col min="1" max="1" width="3.7109375" style="8" customWidth="1"/>
    <col min="2" max="2" width="4.7109375" style="8" customWidth="1"/>
    <col min="3" max="4" width="8.85546875" style="8" customWidth="1"/>
    <col min="5" max="5" width="12.28515625" style="8" customWidth="1"/>
    <col min="6" max="6" width="9.7109375" style="8" customWidth="1"/>
    <col min="7" max="8" width="7.140625" style="8" customWidth="1"/>
    <col min="9" max="9" width="9" style="8" customWidth="1"/>
    <col min="10" max="10" width="10" style="8" customWidth="1"/>
    <col min="11" max="11" width="9.42578125" style="8" customWidth="1"/>
    <col min="12" max="12" width="10" style="8" customWidth="1"/>
    <col min="13" max="13" width="9.28515625" style="8" customWidth="1"/>
    <col min="14" max="15" width="7" style="8" customWidth="1"/>
    <col min="16" max="16384" width="9.140625" style="8"/>
  </cols>
  <sheetData>
    <row r="1" spans="1:17" ht="12.6" customHeight="1" x14ac:dyDescent="0.2">
      <c r="A1" s="1"/>
      <c r="B1" s="2"/>
      <c r="C1" s="2"/>
      <c r="D1" s="2"/>
      <c r="E1" s="2"/>
      <c r="F1" s="225" t="s">
        <v>16</v>
      </c>
      <c r="G1" s="226"/>
      <c r="H1" s="226"/>
      <c r="I1" s="226"/>
      <c r="J1" s="226"/>
      <c r="K1" s="226"/>
      <c r="L1" s="231" t="s">
        <v>18</v>
      </c>
      <c r="M1" s="232"/>
      <c r="N1" s="232"/>
      <c r="O1" s="233"/>
    </row>
    <row r="2" spans="1:17" ht="20.25" customHeight="1" thickBot="1" x14ac:dyDescent="0.3">
      <c r="A2" s="10"/>
      <c r="B2" s="3"/>
      <c r="C2" s="3"/>
      <c r="D2" s="3"/>
      <c r="E2" s="33"/>
      <c r="F2" s="227"/>
      <c r="G2" s="228"/>
      <c r="H2" s="228"/>
      <c r="I2" s="228"/>
      <c r="J2" s="228"/>
      <c r="K2" s="228"/>
      <c r="L2" s="234" t="str">
        <f>Cover!K2</f>
        <v>1</v>
      </c>
      <c r="M2" s="235"/>
      <c r="N2" s="235"/>
      <c r="O2" s="236"/>
    </row>
    <row r="3" spans="1:17" ht="12.6" customHeight="1" x14ac:dyDescent="0.2">
      <c r="A3" s="10"/>
      <c r="B3" s="3"/>
      <c r="C3" s="3"/>
      <c r="D3" s="3"/>
      <c r="E3" s="33"/>
      <c r="F3" s="227"/>
      <c r="G3" s="228"/>
      <c r="H3" s="228"/>
      <c r="I3" s="228"/>
      <c r="J3" s="228"/>
      <c r="K3" s="228"/>
      <c r="L3" s="237" t="s">
        <v>19</v>
      </c>
      <c r="M3" s="238"/>
      <c r="N3" s="238"/>
      <c r="O3" s="239"/>
    </row>
    <row r="4" spans="1:17" ht="17.25" customHeight="1" thickBot="1" x14ac:dyDescent="0.3">
      <c r="A4" s="4"/>
      <c r="B4" s="5"/>
      <c r="C4" s="5"/>
      <c r="D4" s="5"/>
      <c r="E4" s="34"/>
      <c r="F4" s="229"/>
      <c r="G4" s="230"/>
      <c r="H4" s="230"/>
      <c r="I4" s="230"/>
      <c r="J4" s="230"/>
      <c r="K4" s="230"/>
      <c r="L4" s="240" t="str">
        <f>Cover!K4</f>
        <v>&lt;136118-010-CAL-001&gt;</v>
      </c>
      <c r="M4" s="235"/>
      <c r="N4" s="235"/>
      <c r="O4" s="236"/>
      <c r="Q4" s="11"/>
    </row>
    <row r="5" spans="1:17" ht="13.5" thickBot="1" x14ac:dyDescent="0.25"/>
    <row r="6" spans="1:17" ht="6" customHeight="1" thickTop="1" x14ac:dyDescent="0.2">
      <c r="A6" s="16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8"/>
    </row>
    <row r="7" spans="1:17" x14ac:dyDescent="0.2">
      <c r="A7" s="19"/>
      <c r="B7" s="12" t="s">
        <v>17</v>
      </c>
      <c r="C7" s="12"/>
      <c r="D7" s="223"/>
      <c r="E7" s="223"/>
      <c r="F7" s="223"/>
      <c r="G7" s="223"/>
      <c r="H7" s="223"/>
      <c r="I7" s="104"/>
      <c r="J7" s="25"/>
      <c r="K7" s="25"/>
      <c r="L7" s="25"/>
      <c r="M7" s="25"/>
      <c r="N7" s="25"/>
      <c r="O7" s="20"/>
    </row>
    <row r="8" spans="1:17" ht="6" customHeight="1" x14ac:dyDescent="0.2">
      <c r="A8" s="19"/>
      <c r="B8" s="12"/>
      <c r="C8" s="12"/>
      <c r="D8" s="13"/>
      <c r="E8" s="13"/>
      <c r="F8" s="14"/>
      <c r="G8" s="14"/>
      <c r="H8" s="14"/>
      <c r="I8" s="14"/>
      <c r="J8" s="14"/>
      <c r="K8" s="14"/>
      <c r="L8" s="14"/>
      <c r="M8" s="14"/>
      <c r="N8" s="14"/>
      <c r="O8" s="20"/>
    </row>
    <row r="9" spans="1:17" x14ac:dyDescent="0.2">
      <c r="A9" s="24"/>
      <c r="B9" s="12" t="s">
        <v>10</v>
      </c>
      <c r="C9" s="12"/>
      <c r="D9" s="223"/>
      <c r="E9" s="224"/>
      <c r="F9" s="224"/>
      <c r="G9" s="224"/>
      <c r="H9" s="224"/>
      <c r="I9" s="105"/>
      <c r="J9" s="25"/>
      <c r="K9" s="25"/>
      <c r="L9" s="25"/>
      <c r="M9" s="25"/>
      <c r="N9" s="25"/>
      <c r="O9" s="26"/>
    </row>
    <row r="10" spans="1:17" ht="8.1" customHeight="1" thickBot="1" x14ac:dyDescent="0.25">
      <c r="A10" s="21"/>
      <c r="B10" s="28"/>
      <c r="C10" s="28"/>
      <c r="D10" s="29"/>
      <c r="E10" s="29"/>
      <c r="F10" s="30"/>
      <c r="G10" s="30"/>
      <c r="H10" s="27"/>
      <c r="I10" s="27"/>
      <c r="J10" s="30"/>
      <c r="K10" s="30"/>
      <c r="L10" s="30"/>
      <c r="M10" s="30"/>
      <c r="N10" s="30"/>
      <c r="O10" s="22"/>
    </row>
    <row r="11" spans="1:17" ht="12" customHeight="1" thickTop="1" x14ac:dyDescent="0.2">
      <c r="A11" s="17"/>
      <c r="J11" s="14"/>
      <c r="K11" s="14"/>
      <c r="L11" s="32" t="s">
        <v>29</v>
      </c>
      <c r="M11" s="32" t="s">
        <v>28</v>
      </c>
      <c r="N11" s="32" t="s">
        <v>27</v>
      </c>
      <c r="O11" s="17"/>
    </row>
    <row r="12" spans="1:17" ht="12" customHeight="1" x14ac:dyDescent="0.2">
      <c r="A12" s="3"/>
      <c r="C12" s="35"/>
      <c r="E12" s="133"/>
      <c r="F12" s="133" t="s">
        <v>96</v>
      </c>
      <c r="G12" s="130">
        <v>0.27</v>
      </c>
      <c r="H12" s="110"/>
      <c r="I12" s="110"/>
      <c r="J12" s="134"/>
      <c r="K12" s="134"/>
      <c r="L12" s="32"/>
      <c r="M12" s="32"/>
      <c r="N12" s="32"/>
      <c r="O12" s="3"/>
    </row>
    <row r="13" spans="1:17" ht="12" customHeight="1" x14ac:dyDescent="0.2">
      <c r="A13" s="3"/>
      <c r="C13" s="35"/>
      <c r="E13" s="138"/>
      <c r="F13" s="139" t="s">
        <v>49</v>
      </c>
      <c r="G13" s="135">
        <v>135</v>
      </c>
      <c r="H13" s="136"/>
      <c r="I13" s="110"/>
      <c r="J13" s="134">
        <f>G13+273.15</f>
        <v>408.15</v>
      </c>
      <c r="K13" s="137" t="s">
        <v>104</v>
      </c>
      <c r="L13" s="32"/>
      <c r="M13" s="32"/>
      <c r="N13" s="32"/>
      <c r="O13" s="3"/>
    </row>
    <row r="14" spans="1:17" x14ac:dyDescent="0.2">
      <c r="A14" s="25"/>
      <c r="B14"/>
      <c r="C14" s="31"/>
      <c r="D14" s="31"/>
      <c r="E14" s="31"/>
      <c r="F14" s="31" t="s">
        <v>84</v>
      </c>
      <c r="G14" s="31" t="s">
        <v>94</v>
      </c>
      <c r="H14" s="31" t="s">
        <v>95</v>
      </c>
      <c r="I14" s="31"/>
      <c r="J14" s="31"/>
      <c r="K14" s="31"/>
      <c r="L14" s="31"/>
      <c r="M14" s="31"/>
      <c r="N14" s="31"/>
      <c r="O14" s="25"/>
    </row>
    <row r="15" spans="1:17" ht="30" customHeight="1" x14ac:dyDescent="0.2">
      <c r="C15" s="132" t="s">
        <v>86</v>
      </c>
      <c r="D15" s="132"/>
      <c r="E15" s="158" t="str">
        <f>'Kij Solvent(s)'!E13</f>
        <v>Propane</v>
      </c>
      <c r="F15" s="132" t="str">
        <f>VLOOKUP($E15,ComponentTable,2,FALSE)</f>
        <v>Paraffins</v>
      </c>
      <c r="G15" s="132">
        <f>VLOOKUP($E15,ComponentTable,3,FALSE)</f>
        <v>96.748010253906301</v>
      </c>
      <c r="H15" s="132">
        <f>G15+273.15</f>
        <v>369.89801025390625</v>
      </c>
      <c r="I15" s="31"/>
      <c r="J15" s="31"/>
      <c r="K15" s="31"/>
      <c r="L15" s="31"/>
      <c r="M15" s="31"/>
      <c r="N15" s="31"/>
    </row>
    <row r="16" spans="1:17" x14ac:dyDescent="0.2">
      <c r="C16" s="132" t="s">
        <v>87</v>
      </c>
      <c r="D16" s="132"/>
      <c r="E16" s="158" t="str">
        <f>'Kij Solvent(s)'!E14</f>
        <v>Malt_ABP[285]C</v>
      </c>
      <c r="F16" s="132" t="str">
        <f>VLOOKUP($E16,ComponentTable,2,FALSE)</f>
        <v>Maltenes</v>
      </c>
      <c r="G16" s="132">
        <f>VLOOKUP($E16,ComponentTable,3,FALSE)</f>
        <v>485.52</v>
      </c>
      <c r="H16" s="132">
        <f>G16+273.15</f>
        <v>758.67</v>
      </c>
      <c r="I16" s="31"/>
      <c r="J16" s="31"/>
      <c r="K16" s="31"/>
      <c r="L16" s="31"/>
      <c r="M16" s="31"/>
      <c r="N16" s="31"/>
    </row>
    <row r="17" spans="3:14" x14ac:dyDescent="0.2"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3:14" x14ac:dyDescent="0.2">
      <c r="D18" s="31"/>
      <c r="E18" s="31" t="s">
        <v>97</v>
      </c>
      <c r="F18" s="31">
        <f>1-(2*SQRT(H15*H16)/(H15+H16))^G12</f>
        <v>1.6908768512053918E-2</v>
      </c>
      <c r="G18" s="31"/>
      <c r="H18" s="31"/>
      <c r="I18" s="31"/>
      <c r="J18" s="31"/>
      <c r="K18" s="31"/>
      <c r="L18" s="31"/>
      <c r="M18" s="31"/>
      <c r="N18" s="31"/>
    </row>
    <row r="19" spans="3:14" x14ac:dyDescent="0.2"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</row>
    <row r="20" spans="3:14" s="15" customFormat="1" ht="13.5" customHeight="1" x14ac:dyDescent="0.2">
      <c r="C20" s="132" t="s">
        <v>90</v>
      </c>
      <c r="D20" s="132" t="s">
        <v>91</v>
      </c>
      <c r="E20" s="132"/>
      <c r="F20" s="132"/>
      <c r="G20" s="132"/>
      <c r="H20" s="132"/>
      <c r="I20" s="31"/>
      <c r="J20" s="31"/>
      <c r="K20" s="31"/>
      <c r="L20" s="31"/>
      <c r="M20" s="31"/>
      <c r="N20" s="31"/>
    </row>
    <row r="21" spans="3:14" x14ac:dyDescent="0.2">
      <c r="C21" s="132" t="str">
        <f>F15</f>
        <v>Paraffins</v>
      </c>
      <c r="D21" s="132" t="str">
        <f>F16</f>
        <v>Maltenes</v>
      </c>
      <c r="E21" s="132" t="s">
        <v>98</v>
      </c>
      <c r="F21" s="132">
        <f>VLOOKUP($F$15,k1_table,MATCH($F$16,LumpList,0)+1,FALSE)</f>
        <v>2550</v>
      </c>
      <c r="G21" s="132" t="s">
        <v>116</v>
      </c>
      <c r="H21" s="132"/>
      <c r="I21" s="31"/>
      <c r="J21" s="31"/>
      <c r="K21" s="31"/>
      <c r="L21" s="31"/>
      <c r="M21" s="31"/>
      <c r="N21" s="31"/>
    </row>
    <row r="22" spans="3:14" x14ac:dyDescent="0.2">
      <c r="C22" s="132" t="str">
        <f>C21</f>
        <v>Paraffins</v>
      </c>
      <c r="D22" s="132" t="str">
        <f>D21</f>
        <v>Maltenes</v>
      </c>
      <c r="E22" s="132" t="s">
        <v>99</v>
      </c>
      <c r="F22" s="132">
        <f>VLOOKUP($F$15,k2_table,MATCH($F$16,LumpList,0)+1,FALSE)</f>
        <v>-1.5</v>
      </c>
      <c r="G22" s="132" t="s">
        <v>117</v>
      </c>
      <c r="H22" s="132"/>
      <c r="I22" s="31"/>
      <c r="J22" s="31"/>
      <c r="K22" s="31"/>
      <c r="L22" s="31"/>
      <c r="M22" s="31"/>
      <c r="N22" s="31"/>
    </row>
    <row r="23" spans="3:14" x14ac:dyDescent="0.2">
      <c r="C23" s="31"/>
      <c r="D23" s="31"/>
      <c r="F23" s="31"/>
      <c r="G23" s="31"/>
      <c r="H23" s="31"/>
      <c r="I23" s="31"/>
      <c r="J23" s="31"/>
      <c r="K23" s="31"/>
      <c r="L23" s="31"/>
      <c r="M23" s="31"/>
      <c r="N23" s="31"/>
    </row>
    <row r="24" spans="3:14" x14ac:dyDescent="0.2">
      <c r="C24" s="31"/>
      <c r="D24" s="31"/>
      <c r="E24" s="31" t="s">
        <v>100</v>
      </c>
      <c r="F24" s="111">
        <f>F18*(1+F21/J13+F22*LN(J13))</f>
        <v>-2.9924277526542534E-2</v>
      </c>
      <c r="G24" s="31"/>
      <c r="H24" s="31"/>
      <c r="I24" s="31"/>
      <c r="J24" s="31"/>
      <c r="K24" s="31"/>
      <c r="L24" s="31"/>
      <c r="M24" s="31"/>
      <c r="N24" s="31"/>
    </row>
    <row r="25" spans="3:14" x14ac:dyDescent="0.2"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</row>
    <row r="26" spans="3:14" x14ac:dyDescent="0.2"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</row>
    <row r="27" spans="3:14" x14ac:dyDescent="0.2"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</row>
    <row r="28" spans="3:14" x14ac:dyDescent="0.2"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</row>
    <row r="29" spans="3:14" s="15" customFormat="1" ht="13.5" customHeight="1" x14ac:dyDescent="0.2"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</row>
    <row r="30" spans="3:14" ht="12.75" customHeight="1" x14ac:dyDescent="0.2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</row>
    <row r="31" spans="3:14" x14ac:dyDescent="0.2"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</row>
    <row r="32" spans="3:14" x14ac:dyDescent="0.2"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</row>
    <row r="33" spans="3:14" x14ac:dyDescent="0.2"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</row>
    <row r="34" spans="3:14" x14ac:dyDescent="0.2"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</row>
    <row r="35" spans="3:14" x14ac:dyDescent="0.2"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3:14" x14ac:dyDescent="0.2"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</row>
    <row r="37" spans="3:14" x14ac:dyDescent="0.2"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</row>
    <row r="38" spans="3:14" x14ac:dyDescent="0.2"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</row>
    <row r="39" spans="3:14" x14ac:dyDescent="0.2"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</row>
    <row r="40" spans="3:14" x14ac:dyDescent="0.2"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</row>
    <row r="41" spans="3:14" s="15" customFormat="1" ht="13.5" customHeight="1" x14ac:dyDescent="0.2"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</row>
    <row r="42" spans="3:14" x14ac:dyDescent="0.2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3:14" x14ac:dyDescent="0.2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</row>
    <row r="44" spans="3:14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</row>
    <row r="45" spans="3:14" x14ac:dyDescent="0.2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</row>
    <row r="46" spans="3:14" x14ac:dyDescent="0.2">
      <c r="D46"/>
      <c r="E46"/>
      <c r="F46"/>
      <c r="G46"/>
      <c r="H46"/>
      <c r="I46"/>
      <c r="J46"/>
      <c r="K46"/>
    </row>
    <row r="47" spans="3:14" x14ac:dyDescent="0.2">
      <c r="D47"/>
      <c r="E47"/>
      <c r="F47"/>
      <c r="G47"/>
      <c r="H47"/>
      <c r="I47"/>
      <c r="J47"/>
      <c r="K47"/>
    </row>
    <row r="48" spans="3:14" s="15" customFormat="1" ht="13.5" customHeight="1" x14ac:dyDescent="0.2">
      <c r="D48"/>
      <c r="E48"/>
      <c r="F48"/>
      <c r="G48"/>
      <c r="H48"/>
      <c r="I48"/>
      <c r="J48"/>
      <c r="K48"/>
    </row>
    <row r="49" spans="1:11" x14ac:dyDescent="0.2">
      <c r="D49"/>
      <c r="E49"/>
      <c r="F49"/>
      <c r="G49"/>
      <c r="H49"/>
      <c r="I49"/>
      <c r="J49"/>
      <c r="K49"/>
    </row>
    <row r="50" spans="1:11" x14ac:dyDescent="0.2">
      <c r="D50"/>
      <c r="E50"/>
      <c r="F50"/>
      <c r="G50"/>
      <c r="H50"/>
      <c r="I50"/>
      <c r="J50"/>
      <c r="K50"/>
    </row>
    <row r="51" spans="1:11" x14ac:dyDescent="0.2">
      <c r="D51"/>
      <c r="E51"/>
      <c r="F51"/>
      <c r="G51"/>
      <c r="H51"/>
      <c r="I51"/>
      <c r="J51"/>
      <c r="K51"/>
    </row>
    <row r="52" spans="1:11" x14ac:dyDescent="0.2">
      <c r="D52"/>
      <c r="E52"/>
      <c r="F52"/>
      <c r="G52"/>
      <c r="H52"/>
      <c r="I52"/>
      <c r="J52"/>
      <c r="K52"/>
    </row>
    <row r="53" spans="1:11" x14ac:dyDescent="0.2">
      <c r="D53"/>
      <c r="E53"/>
      <c r="F53"/>
      <c r="G53"/>
      <c r="H53"/>
      <c r="I53"/>
      <c r="J53"/>
      <c r="K53"/>
    </row>
    <row r="54" spans="1:11" s="23" customFormat="1" x14ac:dyDescent="0.2">
      <c r="D54"/>
      <c r="E54"/>
      <c r="F54"/>
      <c r="G54"/>
      <c r="H54"/>
      <c r="I54"/>
      <c r="J54"/>
      <c r="K54"/>
    </row>
    <row r="55" spans="1:11" s="15" customFormat="1" ht="13.5" customHeight="1" x14ac:dyDescent="0.2">
      <c r="D55"/>
      <c r="E55"/>
      <c r="F55"/>
      <c r="G55"/>
      <c r="H55"/>
      <c r="I55"/>
      <c r="J55"/>
      <c r="K55"/>
    </row>
    <row r="56" spans="1:11" s="15" customFormat="1" ht="13.5" customHeight="1" x14ac:dyDescent="0.2">
      <c r="A56"/>
      <c r="B56"/>
      <c r="C56"/>
      <c r="D56"/>
      <c r="E56"/>
      <c r="F56"/>
      <c r="G56"/>
      <c r="H56"/>
      <c r="I56"/>
      <c r="J56"/>
      <c r="K56"/>
    </row>
    <row r="57" spans="1:11" s="15" customFormat="1" ht="13.5" customHeight="1" x14ac:dyDescent="0.2">
      <c r="A57"/>
      <c r="B57"/>
      <c r="C57"/>
      <c r="D57"/>
      <c r="E57"/>
      <c r="F57"/>
      <c r="G57"/>
      <c r="H57"/>
      <c r="I57"/>
      <c r="J57"/>
      <c r="K57"/>
    </row>
    <row r="58" spans="1:11" s="15" customFormat="1" ht="13.5" customHeight="1" x14ac:dyDescent="0.2">
      <c r="A58"/>
      <c r="B58"/>
      <c r="C58"/>
      <c r="D58"/>
      <c r="E58"/>
      <c r="F58"/>
      <c r="G58"/>
      <c r="H58"/>
      <c r="I58"/>
      <c r="J58"/>
      <c r="K58"/>
    </row>
    <row r="59" spans="1:11" s="15" customFormat="1" ht="13.5" customHeight="1" x14ac:dyDescent="0.2">
      <c r="A59"/>
      <c r="B59"/>
      <c r="C59"/>
      <c r="D59"/>
      <c r="E59"/>
      <c r="F59"/>
      <c r="G59"/>
      <c r="H59"/>
      <c r="I59"/>
      <c r="J59"/>
      <c r="K59"/>
    </row>
    <row r="60" spans="1:11" s="15" customFormat="1" ht="13.5" customHeight="1" x14ac:dyDescent="0.2">
      <c r="A60"/>
      <c r="B60"/>
      <c r="C60"/>
      <c r="D60"/>
      <c r="E60"/>
      <c r="F60"/>
      <c r="G60"/>
      <c r="H60"/>
      <c r="I60"/>
      <c r="J60"/>
      <c r="K60"/>
    </row>
    <row r="61" spans="1:11" s="15" customFormat="1" ht="13.5" customHeight="1" x14ac:dyDescent="0.2">
      <c r="A61"/>
      <c r="B61"/>
      <c r="C61"/>
      <c r="D61"/>
      <c r="E61"/>
      <c r="F61"/>
      <c r="G61"/>
      <c r="H61"/>
      <c r="I61"/>
      <c r="J61"/>
      <c r="K61"/>
    </row>
    <row r="62" spans="1:11" s="15" customFormat="1" ht="13.5" customHeight="1" x14ac:dyDescent="0.2">
      <c r="A62"/>
      <c r="B62"/>
      <c r="C62"/>
      <c r="D62"/>
      <c r="E62"/>
      <c r="F62"/>
      <c r="G62"/>
      <c r="H62"/>
      <c r="I62"/>
      <c r="J62"/>
      <c r="K62"/>
    </row>
    <row r="63" spans="1:11" s="15" customFormat="1" ht="13.5" customHeight="1" x14ac:dyDescent="0.2">
      <c r="A63"/>
      <c r="B63"/>
      <c r="C63"/>
      <c r="D63"/>
      <c r="E63"/>
      <c r="F63"/>
      <c r="G63"/>
      <c r="H63"/>
      <c r="I63"/>
      <c r="J63"/>
      <c r="K63"/>
    </row>
    <row r="64" spans="1:11" s="15" customFormat="1" ht="13.5" customHeight="1" x14ac:dyDescent="0.2">
      <c r="A64"/>
      <c r="B64"/>
      <c r="C64"/>
      <c r="D64"/>
      <c r="E64"/>
      <c r="F64"/>
      <c r="G64"/>
      <c r="H64"/>
      <c r="I64"/>
      <c r="J64"/>
      <c r="K64"/>
    </row>
    <row r="65" spans="1:15" s="15" customFormat="1" ht="13.5" customHeight="1" x14ac:dyDescent="0.2">
      <c r="A65"/>
      <c r="B65"/>
      <c r="C65"/>
      <c r="D65"/>
      <c r="E65"/>
      <c r="F65"/>
      <c r="G65"/>
      <c r="H65"/>
      <c r="I65"/>
      <c r="J65"/>
      <c r="K65"/>
    </row>
    <row r="66" spans="1:15" s="15" customFormat="1" ht="13.5" customHeight="1" x14ac:dyDescent="0.2">
      <c r="A66"/>
      <c r="B66"/>
      <c r="C66"/>
      <c r="D66"/>
      <c r="E66"/>
      <c r="F66"/>
      <c r="G66"/>
      <c r="H66"/>
      <c r="I66"/>
      <c r="J66"/>
      <c r="K66"/>
    </row>
    <row r="67" spans="1:15" s="15" customFormat="1" ht="13.5" customHeight="1" x14ac:dyDescent="0.2">
      <c r="A67"/>
      <c r="B67"/>
      <c r="C67"/>
      <c r="D67"/>
      <c r="E67"/>
      <c r="F67"/>
      <c r="G67"/>
      <c r="H67"/>
      <c r="I67"/>
      <c r="J67"/>
      <c r="K67"/>
    </row>
    <row r="68" spans="1:15" s="15" customFormat="1" ht="13.5" customHeight="1" x14ac:dyDescent="0.2">
      <c r="A68"/>
      <c r="B68"/>
      <c r="C68"/>
      <c r="D68"/>
      <c r="E68"/>
      <c r="F68"/>
      <c r="G68"/>
      <c r="H68"/>
      <c r="I68"/>
      <c r="J68"/>
      <c r="K68"/>
    </row>
    <row r="69" spans="1:15" s="15" customFormat="1" ht="13.5" customHeight="1" x14ac:dyDescent="0.2">
      <c r="A69"/>
      <c r="B69"/>
      <c r="C69"/>
      <c r="D69"/>
      <c r="E69"/>
      <c r="F69"/>
      <c r="G69"/>
      <c r="H69"/>
      <c r="I69"/>
      <c r="J69"/>
      <c r="K69"/>
    </row>
    <row r="70" spans="1:15" s="15" customFormat="1" ht="13.5" customHeight="1" x14ac:dyDescent="0.2">
      <c r="A70"/>
      <c r="B70"/>
      <c r="C70"/>
      <c r="D70"/>
      <c r="E70"/>
      <c r="F70"/>
      <c r="G70"/>
      <c r="H70"/>
      <c r="I70"/>
      <c r="J70"/>
      <c r="K70"/>
    </row>
    <row r="71" spans="1:15" s="15" customFormat="1" ht="13.5" customHeight="1" x14ac:dyDescent="0.2">
      <c r="A71"/>
      <c r="B71"/>
      <c r="C71"/>
      <c r="D71"/>
      <c r="E71"/>
      <c r="F71"/>
      <c r="G71"/>
      <c r="H71"/>
      <c r="I71"/>
      <c r="J71"/>
      <c r="K71"/>
    </row>
    <row r="72" spans="1:15" s="15" customFormat="1" ht="13.5" customHeight="1" x14ac:dyDescent="0.2">
      <c r="A72"/>
      <c r="B72"/>
      <c r="C72"/>
      <c r="D72"/>
      <c r="E72"/>
      <c r="F72"/>
      <c r="G72"/>
      <c r="H72"/>
      <c r="I72"/>
      <c r="J72"/>
      <c r="K72"/>
    </row>
    <row r="73" spans="1:15" s="15" customFormat="1" ht="13.5" customHeight="1" x14ac:dyDescent="0.25">
      <c r="A73" s="9" t="s">
        <v>21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7"/>
      <c r="N73" s="7"/>
      <c r="O73" s="7" t="s">
        <v>22</v>
      </c>
    </row>
  </sheetData>
  <sheetProtection insertRows="0" selectLockedCells="1"/>
  <dataConsolidate/>
  <mergeCells count="7">
    <mergeCell ref="D9:H9"/>
    <mergeCell ref="F1:K4"/>
    <mergeCell ref="L1:O1"/>
    <mergeCell ref="L2:O2"/>
    <mergeCell ref="L3:O3"/>
    <mergeCell ref="L4:O4"/>
    <mergeCell ref="D7:H7"/>
  </mergeCells>
  <printOptions horizontalCentered="1"/>
  <pageMargins left="0.39370078740157483" right="0.31496062992125984" top="0.35433070866141736" bottom="0.23622047244094491" header="0.35433070866141736" footer="0.23622047244094491"/>
  <pageSetup scale="8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X92"/>
  <sheetViews>
    <sheetView topLeftCell="F19" zoomScaleNormal="100" zoomScalePageLayoutView="55" workbookViewId="0">
      <selection activeCell="E47" sqref="A47:XFD47"/>
    </sheetView>
  </sheetViews>
  <sheetFormatPr defaultRowHeight="12.75" x14ac:dyDescent="0.2"/>
  <cols>
    <col min="1" max="1" width="3.7109375" style="8" customWidth="1"/>
    <col min="2" max="3" width="4.7109375" style="8" customWidth="1"/>
    <col min="4" max="4" width="6.28515625" style="8" customWidth="1"/>
    <col min="5" max="5" width="17.28515625" style="8" customWidth="1"/>
    <col min="6" max="23" width="15" style="140" customWidth="1"/>
    <col min="24" max="24" width="11.28515625" style="8" customWidth="1"/>
    <col min="25" max="16384" width="9.140625" style="8"/>
  </cols>
  <sheetData>
    <row r="1" spans="1:21" ht="12.6" customHeight="1" x14ac:dyDescent="0.2">
      <c r="A1" s="1"/>
      <c r="B1" s="2"/>
      <c r="C1" s="2"/>
      <c r="D1" s="2"/>
      <c r="E1" s="2"/>
      <c r="F1" s="225" t="s">
        <v>16</v>
      </c>
      <c r="G1" s="226"/>
      <c r="H1" s="226"/>
      <c r="I1" s="226"/>
      <c r="J1" s="226"/>
      <c r="K1" s="226"/>
      <c r="L1" s="226"/>
      <c r="M1" s="226"/>
      <c r="N1" s="116"/>
      <c r="O1" s="116"/>
      <c r="P1" s="241" t="s">
        <v>18</v>
      </c>
      <c r="Q1" s="242"/>
      <c r="R1" s="242"/>
      <c r="S1" s="243"/>
    </row>
    <row r="2" spans="1:21" ht="20.25" customHeight="1" thickBot="1" x14ac:dyDescent="0.3">
      <c r="A2" s="10"/>
      <c r="B2" s="3"/>
      <c r="C2" s="3"/>
      <c r="D2" s="3"/>
      <c r="E2" s="33"/>
      <c r="F2" s="227"/>
      <c r="G2" s="228"/>
      <c r="H2" s="228"/>
      <c r="I2" s="228"/>
      <c r="J2" s="228"/>
      <c r="K2" s="228"/>
      <c r="L2" s="228"/>
      <c r="M2" s="228"/>
      <c r="N2" s="117"/>
      <c r="O2" s="117"/>
      <c r="P2" s="234" t="str">
        <f>Cover!$K$2</f>
        <v>1</v>
      </c>
      <c r="Q2" s="235"/>
      <c r="R2" s="235"/>
      <c r="S2" s="236"/>
    </row>
    <row r="3" spans="1:21" ht="12.6" customHeight="1" x14ac:dyDescent="0.2">
      <c r="A3" s="10"/>
      <c r="B3" s="3"/>
      <c r="C3" s="3"/>
      <c r="D3" s="3"/>
      <c r="E3" s="33"/>
      <c r="F3" s="227"/>
      <c r="G3" s="228"/>
      <c r="H3" s="228"/>
      <c r="I3" s="228"/>
      <c r="J3" s="228"/>
      <c r="K3" s="228"/>
      <c r="L3" s="228"/>
      <c r="M3" s="228"/>
      <c r="N3" s="117"/>
      <c r="O3" s="117"/>
      <c r="P3" s="244" t="s">
        <v>19</v>
      </c>
      <c r="Q3" s="245"/>
      <c r="R3" s="245"/>
      <c r="S3" s="246"/>
    </row>
    <row r="4" spans="1:21" ht="17.25" customHeight="1" thickBot="1" x14ac:dyDescent="0.3">
      <c r="A4" s="4"/>
      <c r="B4" s="5"/>
      <c r="C4" s="5"/>
      <c r="D4" s="5"/>
      <c r="E4" s="34"/>
      <c r="F4" s="229"/>
      <c r="G4" s="230"/>
      <c r="H4" s="230"/>
      <c r="I4" s="230"/>
      <c r="J4" s="230"/>
      <c r="K4" s="230"/>
      <c r="L4" s="230"/>
      <c r="M4" s="230"/>
      <c r="N4" s="118"/>
      <c r="O4" s="118"/>
      <c r="P4" s="240" t="str">
        <f>Cover!$K$4</f>
        <v>&lt;136118-010-CAL-001&gt;</v>
      </c>
      <c r="Q4" s="235"/>
      <c r="R4" s="235"/>
      <c r="S4" s="236"/>
      <c r="U4" s="141"/>
    </row>
    <row r="5" spans="1:21" ht="13.5" thickBot="1" x14ac:dyDescent="0.25"/>
    <row r="6" spans="1:21" ht="6" customHeight="1" thickTop="1" x14ac:dyDescent="0.2">
      <c r="A6" s="16"/>
      <c r="B6" s="17"/>
      <c r="C6" s="17"/>
      <c r="D6" s="17"/>
      <c r="E6" s="17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3"/>
    </row>
    <row r="7" spans="1:21" x14ac:dyDescent="0.2">
      <c r="A7" s="19"/>
      <c r="B7" s="12" t="s">
        <v>17</v>
      </c>
      <c r="C7" s="12"/>
      <c r="D7" s="223"/>
      <c r="E7" s="223"/>
      <c r="F7" s="223"/>
      <c r="G7" s="223"/>
      <c r="H7" s="223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5"/>
    </row>
    <row r="8" spans="1:21" ht="6" customHeight="1" x14ac:dyDescent="0.2">
      <c r="A8" s="19"/>
      <c r="B8" s="12"/>
      <c r="C8" s="12"/>
      <c r="D8" s="13"/>
      <c r="E8" s="13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5"/>
    </row>
    <row r="9" spans="1:21" x14ac:dyDescent="0.2">
      <c r="A9" s="24"/>
      <c r="B9" s="12" t="s">
        <v>10</v>
      </c>
      <c r="C9" s="12"/>
      <c r="D9" s="223"/>
      <c r="E9" s="224"/>
      <c r="F9" s="224"/>
      <c r="G9" s="224"/>
      <c r="H9" s="22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7"/>
    </row>
    <row r="10" spans="1:21" ht="8.1" customHeight="1" thickBot="1" x14ac:dyDescent="0.25">
      <c r="A10" s="21"/>
      <c r="B10" s="28"/>
      <c r="C10" s="28"/>
      <c r="D10" s="29"/>
      <c r="E10" s="29"/>
      <c r="F10" s="148"/>
      <c r="G10" s="148"/>
      <c r="H10" s="149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50"/>
    </row>
    <row r="11" spans="1:21" ht="12" customHeight="1" thickTop="1" x14ac:dyDescent="0.2">
      <c r="A11" s="17"/>
      <c r="I11" s="146"/>
      <c r="J11" s="146"/>
      <c r="K11" s="146"/>
      <c r="L11" s="146"/>
      <c r="M11" s="146"/>
      <c r="N11" s="146"/>
      <c r="O11" s="146"/>
      <c r="P11" s="151"/>
      <c r="Q11" s="151"/>
      <c r="R11" s="151"/>
      <c r="S11" s="142"/>
    </row>
    <row r="12" spans="1:21" ht="12" customHeight="1" x14ac:dyDescent="0.2">
      <c r="A12" s="3"/>
      <c r="C12" s="35"/>
      <c r="D12"/>
      <c r="E12"/>
      <c r="F12" s="121"/>
      <c r="G12" s="121"/>
      <c r="I12" s="146"/>
      <c r="J12" s="146"/>
      <c r="K12" s="146"/>
      <c r="L12" s="146"/>
      <c r="M12" s="146"/>
      <c r="N12" s="146"/>
      <c r="O12" s="146"/>
      <c r="P12" s="151"/>
      <c r="Q12" s="151"/>
      <c r="R12" s="151"/>
      <c r="S12" s="152"/>
    </row>
    <row r="13" spans="1:21" ht="12" customHeight="1" x14ac:dyDescent="0.2">
      <c r="A13" s="3"/>
      <c r="C13" s="109" t="s">
        <v>101</v>
      </c>
      <c r="D13"/>
      <c r="E13" s="113" t="s">
        <v>120</v>
      </c>
      <c r="F13" s="121"/>
      <c r="G13" s="121"/>
      <c r="I13" s="146"/>
      <c r="J13" s="146"/>
      <c r="K13" s="146"/>
      <c r="L13" s="146"/>
      <c r="M13" s="146"/>
      <c r="N13" s="146"/>
      <c r="O13" s="146"/>
      <c r="P13" s="151"/>
      <c r="Q13" s="151"/>
      <c r="R13" s="151"/>
      <c r="S13" s="152"/>
    </row>
    <row r="14" spans="1:21" ht="12" customHeight="1" x14ac:dyDescent="0.2">
      <c r="A14" s="3"/>
      <c r="C14" s="109" t="s">
        <v>102</v>
      </c>
      <c r="D14"/>
      <c r="E14" s="114" t="s">
        <v>31</v>
      </c>
      <c r="F14" s="121"/>
      <c r="G14" s="121"/>
      <c r="I14" s="146"/>
      <c r="J14" s="146"/>
      <c r="K14" s="146"/>
      <c r="L14" s="146"/>
      <c r="M14" s="146"/>
      <c r="N14" s="146"/>
      <c r="O14" s="146"/>
      <c r="P14" s="151"/>
      <c r="Q14" s="151"/>
      <c r="R14" s="151"/>
      <c r="S14" s="152"/>
    </row>
    <row r="15" spans="1:21" ht="12" customHeight="1" x14ac:dyDescent="0.2">
      <c r="A15" s="3"/>
      <c r="C15" s="109" t="s">
        <v>103</v>
      </c>
      <c r="D15"/>
      <c r="E15" s="115">
        <f>Samplekij_calculation!F24</f>
        <v>-2.9924277526542534E-2</v>
      </c>
      <c r="F15" s="121"/>
      <c r="G15" s="121"/>
      <c r="I15" s="146"/>
      <c r="J15" s="146"/>
      <c r="K15" s="146"/>
      <c r="L15" s="146"/>
      <c r="M15" s="146"/>
      <c r="N15" s="146"/>
      <c r="O15" s="146"/>
      <c r="P15" s="151"/>
      <c r="Q15" s="151"/>
      <c r="R15" s="151"/>
      <c r="S15" s="152"/>
    </row>
    <row r="16" spans="1:21" ht="12" customHeight="1" x14ac:dyDescent="0.2">
      <c r="A16" s="3"/>
      <c r="C16" s="109"/>
      <c r="D16"/>
      <c r="E16"/>
      <c r="F16" s="121"/>
      <c r="G16" s="121"/>
      <c r="I16" s="146"/>
      <c r="J16" s="146"/>
      <c r="K16" s="146"/>
      <c r="L16" s="146"/>
      <c r="M16" s="146"/>
      <c r="N16" s="146"/>
      <c r="O16" s="146"/>
      <c r="P16" s="151"/>
      <c r="Q16" s="151"/>
      <c r="R16" s="151"/>
      <c r="S16" s="152"/>
    </row>
    <row r="17" spans="1:23" ht="12" customHeight="1" x14ac:dyDescent="0.2">
      <c r="A17" s="3"/>
      <c r="C17" s="109"/>
      <c r="D17"/>
      <c r="E17" s="108" t="s">
        <v>105</v>
      </c>
      <c r="F17" s="121"/>
      <c r="G17" s="121"/>
      <c r="I17" s="146"/>
      <c r="J17" s="146"/>
      <c r="K17" s="146"/>
      <c r="L17" s="146"/>
      <c r="M17" s="146"/>
      <c r="N17" s="146"/>
      <c r="O17" s="146"/>
      <c r="P17" s="151"/>
      <c r="Q17" s="151"/>
      <c r="R17" s="151"/>
      <c r="S17" s="152"/>
    </row>
    <row r="18" spans="1:23" ht="12" customHeight="1" x14ac:dyDescent="0.2">
      <c r="A18" s="3"/>
      <c r="C18" s="109"/>
      <c r="D18"/>
      <c r="E18" s="108" t="s">
        <v>106</v>
      </c>
      <c r="F18" s="121"/>
      <c r="G18" s="121"/>
      <c r="I18" s="146"/>
      <c r="J18" s="146"/>
      <c r="K18" s="146"/>
      <c r="L18" s="153" t="s">
        <v>112</v>
      </c>
      <c r="M18" s="146"/>
      <c r="N18" s="146"/>
      <c r="O18" s="146"/>
      <c r="P18" s="151"/>
      <c r="Q18" s="151"/>
      <c r="R18" s="151"/>
      <c r="S18" s="152"/>
    </row>
    <row r="19" spans="1:23" x14ac:dyDescent="0.2">
      <c r="A19" s="3"/>
      <c r="C19" s="35"/>
      <c r="D19"/>
      <c r="E19"/>
      <c r="F19" s="121"/>
      <c r="G19" s="121"/>
      <c r="I19" s="146"/>
      <c r="J19" s="146"/>
      <c r="K19" s="146"/>
      <c r="L19" s="146"/>
      <c r="M19" s="146"/>
      <c r="N19" s="146"/>
      <c r="O19" s="146"/>
      <c r="P19" s="151"/>
      <c r="Q19" s="151"/>
      <c r="R19" s="151"/>
      <c r="S19" s="152"/>
    </row>
    <row r="20" spans="1:23" ht="12" customHeight="1" x14ac:dyDescent="0.2">
      <c r="A20" s="3"/>
      <c r="C20" s="35"/>
      <c r="D20"/>
      <c r="E20" s="112">
        <f>E15</f>
        <v>-2.9924277526542534E-2</v>
      </c>
      <c r="F20" s="128" t="s">
        <v>31</v>
      </c>
      <c r="G20" s="128" t="s">
        <v>32</v>
      </c>
      <c r="H20" s="128" t="s">
        <v>33</v>
      </c>
      <c r="I20" s="128" t="s">
        <v>34</v>
      </c>
      <c r="J20" s="128" t="s">
        <v>35</v>
      </c>
      <c r="K20" s="128" t="s">
        <v>36</v>
      </c>
      <c r="L20" s="128" t="s">
        <v>37</v>
      </c>
      <c r="M20" s="128" t="s">
        <v>38</v>
      </c>
      <c r="N20" s="128" t="s">
        <v>39</v>
      </c>
      <c r="O20" s="128" t="s">
        <v>40</v>
      </c>
      <c r="P20" s="128" t="s">
        <v>41</v>
      </c>
      <c r="Q20" s="128" t="s">
        <v>42</v>
      </c>
      <c r="R20" s="128" t="s">
        <v>43</v>
      </c>
      <c r="S20" s="128" t="s">
        <v>44</v>
      </c>
      <c r="T20" s="128" t="s">
        <v>45</v>
      </c>
      <c r="U20" s="128" t="s">
        <v>46</v>
      </c>
      <c r="V20" s="128" t="s">
        <v>47</v>
      </c>
      <c r="W20" s="128" t="s">
        <v>48</v>
      </c>
    </row>
    <row r="21" spans="1:23" ht="12" customHeight="1" x14ac:dyDescent="0.2">
      <c r="A21" s="3"/>
      <c r="C21" s="35"/>
      <c r="D21"/>
      <c r="E21" s="110" t="s">
        <v>81</v>
      </c>
      <c r="F21" s="154">
        <f t="dataTable" ref="F21:W67" dt2D="1" dtr="1" r1="E13" r2="E14"/>
        <v>-7.8427795980576379E-2</v>
      </c>
      <c r="G21" s="154">
        <v>-8.1855189972074999E-2</v>
      </c>
      <c r="H21" s="154">
        <v>-8.4914519591964097E-2</v>
      </c>
      <c r="I21" s="154">
        <v>-8.7868471190043734E-2</v>
      </c>
      <c r="J21" s="154">
        <v>-9.0691662466621553E-2</v>
      </c>
      <c r="K21" s="154">
        <v>-9.2577332506505738E-2</v>
      </c>
      <c r="L21" s="154">
        <v>-9.3452817759143825E-2</v>
      </c>
      <c r="M21" s="154">
        <v>-9.4348615841237729E-2</v>
      </c>
      <c r="N21" s="154">
        <v>-9.5129333456629744E-2</v>
      </c>
      <c r="O21" s="154">
        <v>-9.7199729192021633E-2</v>
      </c>
      <c r="P21" s="154">
        <v>-0.10022758534927829</v>
      </c>
      <c r="Q21" s="154">
        <v>-0.10275444946601267</v>
      </c>
      <c r="R21" s="154">
        <v>0.38165325246693493</v>
      </c>
      <c r="S21" s="154">
        <v>0.38844921445807318</v>
      </c>
      <c r="T21" s="154">
        <v>0.39499002007447187</v>
      </c>
      <c r="U21" s="154">
        <v>0.402059458837287</v>
      </c>
      <c r="V21" s="154">
        <v>0.41095876987580293</v>
      </c>
      <c r="W21" s="154">
        <v>0.41763824317185588</v>
      </c>
    </row>
    <row r="22" spans="1:23" ht="12" customHeight="1" x14ac:dyDescent="0.2">
      <c r="A22" s="3"/>
      <c r="C22" s="35"/>
      <c r="D22"/>
      <c r="E22" s="110" t="s">
        <v>118</v>
      </c>
      <c r="F22" s="154">
        <v>-1.4013353589354006E-2</v>
      </c>
      <c r="G22" s="154">
        <v>-1.5819684401555026E-2</v>
      </c>
      <c r="H22" s="154">
        <v>-1.7498178523425386E-2</v>
      </c>
      <c r="I22" s="154">
        <v>-1.9175695994217194E-2</v>
      </c>
      <c r="J22" s="154">
        <v>-2.0829250253418728E-2</v>
      </c>
      <c r="K22" s="154">
        <v>-2.1960231294609847E-2</v>
      </c>
      <c r="L22" s="154">
        <v>-2.2492391287367654E-2</v>
      </c>
      <c r="M22" s="154">
        <v>-2.3041468634006589E-2</v>
      </c>
      <c r="N22" s="154">
        <v>-2.3523740213376068E-2</v>
      </c>
      <c r="O22" s="154">
        <v>-2.4819273262903504E-2</v>
      </c>
      <c r="P22" s="154">
        <v>-2.6756349639874052E-2</v>
      </c>
      <c r="Q22" s="154">
        <v>-2.8410391127061327E-2</v>
      </c>
      <c r="R22" s="154">
        <v>0.10566187319120655</v>
      </c>
      <c r="S22" s="154">
        <v>0.1101907234435357</v>
      </c>
      <c r="T22" s="154">
        <v>0.11460917879564408</v>
      </c>
      <c r="U22" s="154">
        <v>0.1194492229090351</v>
      </c>
      <c r="V22" s="154">
        <v>0.12563527211204609</v>
      </c>
      <c r="W22" s="154">
        <v>0.13034505449196299</v>
      </c>
    </row>
    <row r="23" spans="1:23" ht="12" customHeight="1" x14ac:dyDescent="0.2">
      <c r="A23" s="3"/>
      <c r="C23" s="35"/>
      <c r="D23"/>
      <c r="E23" s="110" t="s">
        <v>80</v>
      </c>
      <c r="F23" s="154">
        <v>-2.2922031915409133E-2</v>
      </c>
      <c r="G23" s="154">
        <v>-2.5152274547316868E-2</v>
      </c>
      <c r="H23" s="154">
        <v>-2.7196006595517325E-2</v>
      </c>
      <c r="I23" s="154">
        <v>-2.9214728581382274E-2</v>
      </c>
      <c r="J23" s="154">
        <v>-3.1184124817481097E-2</v>
      </c>
      <c r="K23" s="154">
        <v>-3.2520594294373539E-2</v>
      </c>
      <c r="L23" s="154">
        <v>-3.3146692349760344E-2</v>
      </c>
      <c r="M23" s="154">
        <v>-3.3790933782362399E-2</v>
      </c>
      <c r="N23" s="154">
        <v>-3.4355362703568468E-2</v>
      </c>
      <c r="O23" s="154">
        <v>-3.5865280521520139E-2</v>
      </c>
      <c r="P23" s="154">
        <v>-3.8106896256546931E-2</v>
      </c>
      <c r="Q23" s="154">
        <v>-4.0007072013408633E-2</v>
      </c>
      <c r="R23" s="154">
        <v>0.14872844337643026</v>
      </c>
      <c r="S23" s="154">
        <v>0.15390192821439877</v>
      </c>
      <c r="T23" s="154">
        <v>0.15892784546247157</v>
      </c>
      <c r="U23" s="154">
        <v>0.16441033435722729</v>
      </c>
      <c r="V23" s="154">
        <v>0.17138458358514649</v>
      </c>
      <c r="W23" s="154">
        <v>0.17667114213447299</v>
      </c>
    </row>
    <row r="24" spans="1:23" ht="12" customHeight="1" x14ac:dyDescent="0.2">
      <c r="A24" s="3"/>
      <c r="C24" s="35"/>
      <c r="D24"/>
      <c r="E24" s="110" t="s">
        <v>141</v>
      </c>
      <c r="F24" s="154">
        <v>-0.19584763586076559</v>
      </c>
      <c r="G24" s="154">
        <v>-0.20768781962048805</v>
      </c>
      <c r="H24" s="154">
        <v>-0.21834754224646749</v>
      </c>
      <c r="I24" s="154">
        <v>-0.22871755019507914</v>
      </c>
      <c r="J24" s="154">
        <v>-0.23869642607597105</v>
      </c>
      <c r="K24" s="154">
        <v>-0.24539707999061941</v>
      </c>
      <c r="L24" s="154">
        <v>-0.2485174916752636</v>
      </c>
      <c r="M24" s="154">
        <v>-0.2517163675463378</v>
      </c>
      <c r="N24" s="154">
        <v>-0.25450923415011845</v>
      </c>
      <c r="O24" s="154">
        <v>-0.26193755391450518</v>
      </c>
      <c r="P24" s="154">
        <v>-0.27285674103212781</v>
      </c>
      <c r="Q24" s="154">
        <v>-0.28201800169452512</v>
      </c>
      <c r="R24" s="154">
        <v>0.26459315706181696</v>
      </c>
      <c r="S24" s="154">
        <v>0.27084128489182524</v>
      </c>
      <c r="T24" s="154">
        <v>0.27687416915186924</v>
      </c>
      <c r="U24" s="154">
        <v>0.28341544389308171</v>
      </c>
      <c r="V24" s="154">
        <v>0.2916797836865509</v>
      </c>
      <c r="W24" s="154">
        <v>0.29790398077455138</v>
      </c>
    </row>
    <row r="25" spans="1:23" ht="12" customHeight="1" x14ac:dyDescent="0.2">
      <c r="A25" s="3"/>
      <c r="C25" s="35"/>
      <c r="D25"/>
      <c r="E25" s="110" t="s">
        <v>119</v>
      </c>
      <c r="F25" s="154">
        <v>-4.7188148214733126E-2</v>
      </c>
      <c r="G25" s="154">
        <v>-5.180396307176445E-2</v>
      </c>
      <c r="H25" s="154">
        <v>-5.6034773114096506E-2</v>
      </c>
      <c r="I25" s="154">
        <v>-6.0214654807926871E-2</v>
      </c>
      <c r="J25" s="154">
        <v>-6.429313942421222E-2</v>
      </c>
      <c r="K25" s="154">
        <v>-6.7061257292351961E-2</v>
      </c>
      <c r="L25" s="154">
        <v>-6.8358142169230363E-2</v>
      </c>
      <c r="M25" s="154">
        <v>-6.9692673135118621E-2</v>
      </c>
      <c r="N25" s="154">
        <v>-7.0861926661865873E-2</v>
      </c>
      <c r="O25" s="154">
        <v>-7.3990057455453076E-2</v>
      </c>
      <c r="P25" s="154">
        <v>-7.8634652155247092E-2</v>
      </c>
      <c r="Q25" s="154">
        <v>-8.2572302565895372E-2</v>
      </c>
      <c r="R25" s="154">
        <v>0.14775870804983562</v>
      </c>
      <c r="S25" s="154">
        <v>0.1529196484446283</v>
      </c>
      <c r="T25" s="154">
        <v>0.15793376476062912</v>
      </c>
      <c r="U25" s="154">
        <v>0.16340379491156215</v>
      </c>
      <c r="V25" s="154">
        <v>0.17036279027104195</v>
      </c>
      <c r="W25" s="154">
        <v>0.17563820921352752</v>
      </c>
    </row>
    <row r="26" spans="1:23" ht="12" customHeight="1" x14ac:dyDescent="0.2">
      <c r="A26" s="3"/>
      <c r="C26" s="35"/>
      <c r="D26"/>
      <c r="E26" s="110" t="s">
        <v>120</v>
      </c>
      <c r="F26" s="154">
        <v>-2.9924277526542534E-2</v>
      </c>
      <c r="G26" s="154">
        <v>-3.3722491228163898E-2</v>
      </c>
      <c r="H26" s="154">
        <v>-3.7248930564549185E-2</v>
      </c>
      <c r="I26" s="154">
        <v>-4.0770847308921797E-2</v>
      </c>
      <c r="J26" s="154">
        <v>-4.4240325369851501E-2</v>
      </c>
      <c r="K26" s="154">
        <v>-4.6612247082625596E-2</v>
      </c>
      <c r="L26" s="154">
        <v>-4.7728019919386327E-2</v>
      </c>
      <c r="M26" s="154">
        <v>-4.8879079717835859E-2</v>
      </c>
      <c r="N26" s="154">
        <v>-4.9889942162377264E-2</v>
      </c>
      <c r="O26" s="154">
        <v>-5.2604777500602419E-2</v>
      </c>
      <c r="P26" s="154">
        <v>-5.666231756474311E-2</v>
      </c>
      <c r="Q26" s="154">
        <v>-6.0125537524826529E-2</v>
      </c>
      <c r="R26" s="154">
        <v>0.10763352570418497</v>
      </c>
      <c r="S26" s="154">
        <v>0.11219640750248655</v>
      </c>
      <c r="T26" s="154">
        <v>0.11664698137686844</v>
      </c>
      <c r="U26" s="154">
        <v>0.12152104714744361</v>
      </c>
      <c r="V26" s="154">
        <v>0.12774891397376981</v>
      </c>
      <c r="W26" s="154">
        <v>0.13248935255592434</v>
      </c>
    </row>
    <row r="27" spans="1:23" ht="12" customHeight="1" x14ac:dyDescent="0.2">
      <c r="A27" s="3"/>
      <c r="C27" s="35"/>
      <c r="D27"/>
      <c r="E27" s="110" t="s">
        <v>121</v>
      </c>
      <c r="F27" s="154">
        <v>-2.2462117238763433E-2</v>
      </c>
      <c r="G27" s="154">
        <v>-2.5806979178936429E-2</v>
      </c>
      <c r="H27" s="154">
        <v>-2.8941182353801758E-2</v>
      </c>
      <c r="I27" s="154">
        <v>-3.2095265501816628E-2</v>
      </c>
      <c r="J27" s="154">
        <v>-3.5223003824784785E-2</v>
      </c>
      <c r="K27" s="154">
        <v>-3.7371926032357741E-2</v>
      </c>
      <c r="L27" s="154">
        <v>-3.838557835397019E-2</v>
      </c>
      <c r="M27" s="154">
        <v>-3.9433069792362455E-2</v>
      </c>
      <c r="N27" s="154">
        <v>-4.0354425263370089E-2</v>
      </c>
      <c r="O27" s="154">
        <v>-4.283528107855613E-2</v>
      </c>
      <c r="P27" s="154">
        <v>-4.6559387557365654E-2</v>
      </c>
      <c r="Q27" s="154">
        <v>-4.9752182772025567E-2</v>
      </c>
      <c r="R27" s="154">
        <v>8.9086915495585436E-2</v>
      </c>
      <c r="S27" s="154">
        <v>9.3307909802050906E-2</v>
      </c>
      <c r="T27" s="154">
        <v>9.7435585891471124E-2</v>
      </c>
      <c r="U27" s="154">
        <v>0.10196737333330363</v>
      </c>
      <c r="V27" s="154">
        <v>0.10777417187110705</v>
      </c>
      <c r="W27" s="154">
        <v>0.11220567105096355</v>
      </c>
    </row>
    <row r="28" spans="1:23" ht="12" customHeight="1" x14ac:dyDescent="0.2">
      <c r="A28" s="3"/>
      <c r="C28" s="35"/>
      <c r="D28"/>
      <c r="E28" s="110" t="s">
        <v>122</v>
      </c>
      <c r="F28" s="154">
        <v>-1.9640863309172984E-2</v>
      </c>
      <c r="G28" s="154">
        <v>-2.2790162938413867E-2</v>
      </c>
      <c r="H28" s="154">
        <v>-2.5754818480603594E-2</v>
      </c>
      <c r="I28" s="154">
        <v>-2.8749601498167444E-2</v>
      </c>
      <c r="J28" s="154">
        <v>-3.1729073549004297E-2</v>
      </c>
      <c r="K28" s="154">
        <v>-3.3781104357926917E-2</v>
      </c>
      <c r="L28" s="154">
        <v>-3.4750348301293525E-2</v>
      </c>
      <c r="M28" s="154">
        <v>-3.5752777186105769E-2</v>
      </c>
      <c r="N28" s="154">
        <v>-3.663516813149223E-2</v>
      </c>
      <c r="O28" s="154">
        <v>-3.9014078142665741E-2</v>
      </c>
      <c r="P28" s="154">
        <v>-4.2592679931040073E-2</v>
      </c>
      <c r="Q28" s="154">
        <v>-4.5667266184940575E-2</v>
      </c>
      <c r="R28" s="154">
        <v>8.1782654935733876E-2</v>
      </c>
      <c r="S28" s="154">
        <v>8.5853994768928285E-2</v>
      </c>
      <c r="T28" s="154">
        <v>8.9840174192929736E-2</v>
      </c>
      <c r="U28" s="154">
        <v>9.422180497880378E-2</v>
      </c>
      <c r="V28" s="154">
        <v>9.9843640273650905E-2</v>
      </c>
      <c r="W28" s="154">
        <v>0.10413925756274603</v>
      </c>
    </row>
    <row r="29" spans="1:23" ht="12" customHeight="1" x14ac:dyDescent="0.2">
      <c r="A29" s="3"/>
      <c r="C29" s="35"/>
      <c r="D29"/>
      <c r="E29" s="110" t="s">
        <v>123</v>
      </c>
      <c r="F29" s="154">
        <v>-1.4687299780370743E-2</v>
      </c>
      <c r="G29" s="154">
        <v>-1.7448223960571094E-2</v>
      </c>
      <c r="H29" s="154">
        <v>-2.0075561906508173E-2</v>
      </c>
      <c r="I29" s="154">
        <v>-2.2752891743498618E-2</v>
      </c>
      <c r="J29" s="154">
        <v>-2.5436434199217185E-2</v>
      </c>
      <c r="K29" s="154">
        <v>-2.7294829675170662E-2</v>
      </c>
      <c r="L29" s="154">
        <v>-2.8175258395278117E-2</v>
      </c>
      <c r="M29" s="154">
        <v>-2.9087520882929024E-2</v>
      </c>
      <c r="N29" s="154">
        <v>-2.9891912045498584E-2</v>
      </c>
      <c r="O29" s="154">
        <v>-3.2066590135463327E-2</v>
      </c>
      <c r="P29" s="154">
        <v>-3.5353301284687368E-2</v>
      </c>
      <c r="Q29" s="154">
        <v>-3.8190403564260018E-2</v>
      </c>
      <c r="R29" s="154">
        <v>6.8411790004483691E-2</v>
      </c>
      <c r="S29" s="154">
        <v>7.2182108378473164E-2</v>
      </c>
      <c r="T29" s="154">
        <v>7.5883404942534385E-2</v>
      </c>
      <c r="U29" s="154">
        <v>7.99624245890736E-2</v>
      </c>
      <c r="V29" s="154">
        <v>8.5211080064412123E-2</v>
      </c>
      <c r="W29" s="154">
        <v>8.9232239624621221E-2</v>
      </c>
    </row>
    <row r="30" spans="1:23" ht="12" customHeight="1" x14ac:dyDescent="0.2">
      <c r="A30" s="3"/>
      <c r="C30" s="35"/>
      <c r="D30"/>
      <c r="E30" s="110" t="s">
        <v>124</v>
      </c>
      <c r="F30" s="154">
        <v>-1.3561541637805055E-2</v>
      </c>
      <c r="G30" s="154">
        <v>-1.6223997746611339E-2</v>
      </c>
      <c r="H30" s="154">
        <v>-1.8765686704544763E-2</v>
      </c>
      <c r="I30" s="154">
        <v>-2.1362302457576695E-2</v>
      </c>
      <c r="J30" s="154">
        <v>-2.3970506524548144E-2</v>
      </c>
      <c r="K30" s="154">
        <v>-2.5779554537670869E-2</v>
      </c>
      <c r="L30" s="154">
        <v>-2.6637335167374657E-2</v>
      </c>
      <c r="M30" s="154">
        <v>-2.7526596085634483E-2</v>
      </c>
      <c r="N30" s="154">
        <v>-2.8311082100048148E-2</v>
      </c>
      <c r="O30" s="154">
        <v>-3.0433608883029043E-2</v>
      </c>
      <c r="P30" s="154">
        <v>-3.3645702300890812E-2</v>
      </c>
      <c r="Q30" s="154">
        <v>-3.6422022131947493E-2</v>
      </c>
      <c r="R30" s="154">
        <v>6.5249079014505607E-2</v>
      </c>
      <c r="S30" s="154">
        <v>6.894227727085811E-2</v>
      </c>
      <c r="T30" s="154">
        <v>7.2570531966023033E-2</v>
      </c>
      <c r="U30" s="154">
        <v>7.657190332127714E-2</v>
      </c>
      <c r="V30" s="154">
        <v>8.1724714810397392E-2</v>
      </c>
      <c r="W30" s="154">
        <v>8.5675321877231217E-2</v>
      </c>
    </row>
    <row r="31" spans="1:23" ht="12" customHeight="1" x14ac:dyDescent="0.2">
      <c r="A31" s="3"/>
      <c r="C31" s="35"/>
      <c r="D31"/>
      <c r="E31" s="110" t="s">
        <v>125</v>
      </c>
      <c r="F31" s="154">
        <v>-9.5286103625050918E-3</v>
      </c>
      <c r="G31" s="154">
        <v>-1.1794445973992982E-2</v>
      </c>
      <c r="H31" s="154">
        <v>-1.3990641223252434E-2</v>
      </c>
      <c r="I31" s="154">
        <v>-1.6261230736048949E-2</v>
      </c>
      <c r="J31" s="154">
        <v>-1.8564731652540467E-2</v>
      </c>
      <c r="K31" s="154">
        <v>-2.0173988154197731E-2</v>
      </c>
      <c r="L31" s="154">
        <v>-2.0940018514686576E-2</v>
      </c>
      <c r="M31" s="154">
        <v>-2.1736061051741074E-2</v>
      </c>
      <c r="N31" s="154">
        <v>-2.2439847994496043E-2</v>
      </c>
      <c r="O31" s="154">
        <v>-2.4350812856643991E-2</v>
      </c>
      <c r="P31" s="154">
        <v>-2.7259870479893731E-2</v>
      </c>
      <c r="Q31" s="154">
        <v>-2.9789045684462563E-2</v>
      </c>
      <c r="R31" s="154">
        <v>5.3384833174748583E-2</v>
      </c>
      <c r="S31" s="154">
        <v>5.6764149617508905E-2</v>
      </c>
      <c r="T31" s="154">
        <v>6.0094892008947916E-2</v>
      </c>
      <c r="U31" s="154">
        <v>6.3779740166039003E-2</v>
      </c>
      <c r="V31" s="154">
        <v>6.8541497316244274E-2</v>
      </c>
      <c r="W31" s="154">
        <v>7.2203984321370748E-2</v>
      </c>
    </row>
    <row r="32" spans="1:23" ht="12" customHeight="1" x14ac:dyDescent="0.2">
      <c r="A32" s="3"/>
      <c r="C32" s="35"/>
      <c r="D32"/>
      <c r="E32" s="110" t="s">
        <v>127</v>
      </c>
      <c r="F32" s="154">
        <v>-6.846539402467015E-3</v>
      </c>
      <c r="G32" s="154">
        <v>-8.7942161902648218E-3</v>
      </c>
      <c r="H32" s="154">
        <v>-1.071268547741417E-2</v>
      </c>
      <c r="I32" s="154">
        <v>-1.2720695457107379E-2</v>
      </c>
      <c r="J32" s="154">
        <v>-1.4778342462388907E-2</v>
      </c>
      <c r="K32" s="154">
        <v>-1.6226156265199663E-2</v>
      </c>
      <c r="L32" s="154">
        <v>-1.6917983398902579E-2</v>
      </c>
      <c r="M32" s="154">
        <v>-1.7638593892327057E-2</v>
      </c>
      <c r="N32" s="154">
        <v>-1.827704544440395E-2</v>
      </c>
      <c r="O32" s="154">
        <v>-2.0016575384819903E-2</v>
      </c>
      <c r="P32" s="154">
        <v>-2.2679689329488755E-2</v>
      </c>
      <c r="Q32" s="154">
        <v>-2.5007940871874211E-2</v>
      </c>
      <c r="R32" s="154">
        <v>4.4831422114703465E-2</v>
      </c>
      <c r="S32" s="154">
        <v>4.795520475747591E-2</v>
      </c>
      <c r="T32" s="154">
        <v>5.1043475789394409E-2</v>
      </c>
      <c r="U32" s="154">
        <v>5.4470072609944915E-2</v>
      </c>
      <c r="V32" s="154">
        <v>5.891235446962146E-2</v>
      </c>
      <c r="W32" s="154">
        <v>6.2339161545931429E-2</v>
      </c>
    </row>
    <row r="33" spans="1:24" ht="12" customHeight="1" x14ac:dyDescent="0.2">
      <c r="A33" s="3"/>
      <c r="C33" s="35"/>
      <c r="D33"/>
      <c r="E33" s="110" t="s">
        <v>126</v>
      </c>
      <c r="F33" s="154">
        <v>-4.943662725962329E-3</v>
      </c>
      <c r="G33" s="154">
        <v>-6.6223737067181683E-3</v>
      </c>
      <c r="H33" s="154">
        <v>-8.3056612537782942E-3</v>
      </c>
      <c r="I33" s="154">
        <v>-1.0090970868294115E-2</v>
      </c>
      <c r="J33" s="154">
        <v>-1.1939795215076033E-2</v>
      </c>
      <c r="K33" s="154">
        <v>-1.3250319494881068E-2</v>
      </c>
      <c r="L33" s="154">
        <v>-1.387900086502381E-2</v>
      </c>
      <c r="M33" s="154">
        <v>-1.4535391338683288E-2</v>
      </c>
      <c r="N33" s="154">
        <v>-1.5118195415098469E-2</v>
      </c>
      <c r="O33" s="154">
        <v>-1.6711606935999837E-2</v>
      </c>
      <c r="P33" s="154">
        <v>-1.9164831295350064E-2</v>
      </c>
      <c r="Q33" s="154">
        <v>-2.1321377957788025E-2</v>
      </c>
      <c r="R33" s="154">
        <v>3.823499774438921E-2</v>
      </c>
      <c r="S33" s="154">
        <v>4.1140162222041192E-2</v>
      </c>
      <c r="T33" s="154">
        <v>4.4020807891620162E-2</v>
      </c>
      <c r="U33" s="154">
        <v>4.7226069215370654E-2</v>
      </c>
      <c r="V33" s="154">
        <v>5.1394256808126475E-2</v>
      </c>
      <c r="W33" s="154">
        <v>5.4618655858692328E-2</v>
      </c>
    </row>
    <row r="34" spans="1:24" ht="12" customHeight="1" x14ac:dyDescent="0.2">
      <c r="A34" s="3"/>
      <c r="C34" s="35"/>
      <c r="D34"/>
      <c r="E34" s="110" t="s">
        <v>128</v>
      </c>
      <c r="F34" s="154">
        <v>-3.5344698465140678E-3</v>
      </c>
      <c r="G34" s="154">
        <v>-4.9763268636318038E-3</v>
      </c>
      <c r="H34" s="154">
        <v>-6.4522124469829209E-3</v>
      </c>
      <c r="I34" s="154">
        <v>-8.0408675732899573E-3</v>
      </c>
      <c r="J34" s="154">
        <v>-9.7050601096566758E-3</v>
      </c>
      <c r="K34" s="154">
        <v>-1.0894075437652664E-2</v>
      </c>
      <c r="L34" s="154">
        <v>-1.1466836070125571E-2</v>
      </c>
      <c r="M34" s="154">
        <v>-1.2066332901682636E-2</v>
      </c>
      <c r="N34" s="154">
        <v>-1.2599820250077609E-2</v>
      </c>
      <c r="O34" s="154">
        <v>-1.4063658062392249E-2</v>
      </c>
      <c r="P34" s="154">
        <v>-1.63305573975621E-2</v>
      </c>
      <c r="Q34" s="154">
        <v>-1.8334498268588535E-2</v>
      </c>
      <c r="R34" s="154">
        <v>3.2889600984913211E-2</v>
      </c>
      <c r="S34" s="154">
        <v>3.5600279221379975E-2</v>
      </c>
      <c r="T34" s="154">
        <v>3.8296079589265966E-2</v>
      </c>
      <c r="U34" s="154">
        <v>4.1304139559054341E-2</v>
      </c>
      <c r="V34" s="154">
        <v>4.5227902294395821E-2</v>
      </c>
      <c r="W34" s="154">
        <v>4.8271646508135521E-2</v>
      </c>
    </row>
    <row r="35" spans="1:24" ht="12" customHeight="1" x14ac:dyDescent="0.2">
      <c r="A35" s="3"/>
      <c r="C35" s="35"/>
      <c r="D35"/>
      <c r="E35" s="110" t="s">
        <v>129</v>
      </c>
      <c r="F35" s="154">
        <v>-2.5217552460157695E-3</v>
      </c>
      <c r="G35" s="154">
        <v>-3.7609944031513722E-3</v>
      </c>
      <c r="H35" s="154">
        <v>-5.0592364520050878E-3</v>
      </c>
      <c r="I35" s="154">
        <v>-6.4792614816370593E-3</v>
      </c>
      <c r="J35" s="154">
        <v>-7.9849615671555678E-3</v>
      </c>
      <c r="K35" s="154">
        <v>-9.0695790703133154E-3</v>
      </c>
      <c r="L35" s="154">
        <v>-9.5942692329347521E-3</v>
      </c>
      <c r="M35" s="154">
        <v>-1.0144843278448551E-2</v>
      </c>
      <c r="N35" s="154">
        <v>-1.0635910127083353E-2</v>
      </c>
      <c r="O35" s="154">
        <v>-1.1988234980187642E-2</v>
      </c>
      <c r="P35" s="154">
        <v>-1.4094631179455802E-2</v>
      </c>
      <c r="Q35" s="154">
        <v>-1.5966982506997129E-2</v>
      </c>
      <c r="R35" s="154">
        <v>2.8651903731335238E-2</v>
      </c>
      <c r="S35" s="154">
        <v>3.1194741634680914E-2</v>
      </c>
      <c r="T35" s="154">
        <v>3.3730918697248785E-2</v>
      </c>
      <c r="U35" s="154">
        <v>3.6568573464795931E-2</v>
      </c>
      <c r="V35" s="154">
        <v>4.028096227555817E-2</v>
      </c>
      <c r="W35" s="154">
        <v>4.3168362974303091E-2</v>
      </c>
    </row>
    <row r="36" spans="1:24" ht="12" customHeight="1" x14ac:dyDescent="0.2">
      <c r="A36" s="3"/>
      <c r="C36" s="35"/>
      <c r="D36"/>
      <c r="E36" s="110" t="s">
        <v>142</v>
      </c>
      <c r="F36" s="154">
        <v>-1.7795670752328314E-3</v>
      </c>
      <c r="G36" s="154">
        <v>-2.8417814035604184E-3</v>
      </c>
      <c r="H36" s="154">
        <v>-3.9846526877233418E-3</v>
      </c>
      <c r="I36" s="154">
        <v>-5.2570458858973634E-3</v>
      </c>
      <c r="J36" s="154">
        <v>-6.6238601037561162E-3</v>
      </c>
      <c r="K36" s="154">
        <v>-7.6169254868942281E-3</v>
      </c>
      <c r="L36" s="154">
        <v>-8.0994414996186769E-3</v>
      </c>
      <c r="M36" s="154">
        <v>-8.6070815651873196E-3</v>
      </c>
      <c r="N36" s="154">
        <v>-9.0609108751988528E-3</v>
      </c>
      <c r="O36" s="154">
        <v>-1.0315303521056441E-2</v>
      </c>
      <c r="P36" s="154">
        <v>-1.2280630976227976E-2</v>
      </c>
      <c r="Q36" s="154">
        <v>-1.403722590038663E-2</v>
      </c>
      <c r="R36" s="154">
        <v>2.5197182658178791E-2</v>
      </c>
      <c r="S36" s="154">
        <v>2.7592270807649859E-2</v>
      </c>
      <c r="T36" s="154">
        <v>2.998785359032002E-2</v>
      </c>
      <c r="U36" s="154">
        <v>3.267533285864483E-2</v>
      </c>
      <c r="V36" s="154">
        <v>3.6201318308874519E-2</v>
      </c>
      <c r="W36" s="154">
        <v>3.8950756642820439E-2</v>
      </c>
    </row>
    <row r="37" spans="1:24" ht="12" customHeight="1" x14ac:dyDescent="0.2">
      <c r="A37" s="3"/>
      <c r="C37" s="35"/>
      <c r="D37"/>
      <c r="E37" s="110" t="s">
        <v>130</v>
      </c>
      <c r="F37" s="154">
        <v>-1.2013942629624118E-3</v>
      </c>
      <c r="G37" s="154">
        <v>-2.0972190778214004E-3</v>
      </c>
      <c r="H37" s="154">
        <v>-3.0939135278731495E-3</v>
      </c>
      <c r="I37" s="154">
        <v>-4.227288358370363E-3</v>
      </c>
      <c r="J37" s="154">
        <v>-5.4632100762723075E-3</v>
      </c>
      <c r="K37" s="154">
        <v>-6.3699338381555514E-3</v>
      </c>
      <c r="L37" s="154">
        <v>-6.8126601881316577E-3</v>
      </c>
      <c r="M37" s="154">
        <v>-7.2797834653995207E-3</v>
      </c>
      <c r="N37" s="154">
        <v>-7.6984633149647305E-3</v>
      </c>
      <c r="O37" s="154">
        <v>-8.8603778393152137E-3</v>
      </c>
      <c r="P37" s="154">
        <v>-1.0692397035068959E-2</v>
      </c>
      <c r="Q37" s="154">
        <v>-1.2339518093742684E-2</v>
      </c>
      <c r="R37" s="154">
        <v>2.2157359093622559E-2</v>
      </c>
      <c r="S37" s="154">
        <v>2.4412627451104642E-2</v>
      </c>
      <c r="T37" s="154">
        <v>2.6675095345498008E-2</v>
      </c>
      <c r="U37" s="154">
        <v>2.9220315951670087E-2</v>
      </c>
      <c r="V37" s="154">
        <v>3.2569619875574336E-2</v>
      </c>
      <c r="W37" s="154">
        <v>3.5188215700910887E-2</v>
      </c>
    </row>
    <row r="38" spans="1:24" ht="12" customHeight="1" x14ac:dyDescent="0.2">
      <c r="A38" s="3"/>
      <c r="C38" s="35"/>
      <c r="D38"/>
      <c r="E38" s="110" t="s">
        <v>131</v>
      </c>
      <c r="F38" s="154">
        <v>-7.9853858578859461E-4</v>
      </c>
      <c r="G38" s="154">
        <v>-1.5523958976539688E-3</v>
      </c>
      <c r="H38" s="154">
        <v>-2.4242614188600704E-3</v>
      </c>
      <c r="I38" s="154">
        <v>-3.438826606271813E-3</v>
      </c>
      <c r="J38" s="154">
        <v>-4.5627992160384729E-3</v>
      </c>
      <c r="K38" s="154">
        <v>-5.3956321933764902E-3</v>
      </c>
      <c r="L38" s="154">
        <v>-5.804294636758924E-3</v>
      </c>
      <c r="M38" s="154">
        <v>-6.2367236521682452E-3</v>
      </c>
      <c r="N38" s="154">
        <v>-6.6252988035639584E-3</v>
      </c>
      <c r="O38" s="154">
        <v>-7.7079792505320198E-3</v>
      </c>
      <c r="P38" s="154">
        <v>-9.4257079361224575E-3</v>
      </c>
      <c r="Q38" s="154">
        <v>-1.0978907009470998E-2</v>
      </c>
      <c r="R38" s="154">
        <v>1.9720697588713205E-2</v>
      </c>
      <c r="S38" s="154">
        <v>2.185594059183503E-2</v>
      </c>
      <c r="T38" s="154">
        <v>2.400408765944426E-2</v>
      </c>
      <c r="U38" s="154">
        <v>2.6427079055675911E-2</v>
      </c>
      <c r="V38" s="154">
        <v>2.9624496819420032E-2</v>
      </c>
      <c r="W38" s="154">
        <v>3.2130554317949485E-2</v>
      </c>
    </row>
    <row r="39" spans="1:24" ht="12" customHeight="1" x14ac:dyDescent="0.2">
      <c r="A39" s="3"/>
      <c r="C39" s="35"/>
      <c r="D39"/>
      <c r="E39" s="110" t="s">
        <v>132</v>
      </c>
      <c r="F39" s="154">
        <v>-5.343601818744252E-3</v>
      </c>
      <c r="G39" s="154">
        <v>-7.0828594846354849E-3</v>
      </c>
      <c r="H39" s="154">
        <v>-8.8191201540591228E-3</v>
      </c>
      <c r="I39" s="154">
        <v>-1.0654618936984576E-2</v>
      </c>
      <c r="J39" s="154">
        <v>-1.2550529336356591E-2</v>
      </c>
      <c r="K39" s="154">
        <v>-1.3892023148110373E-2</v>
      </c>
      <c r="L39" s="154">
        <v>-1.45349523227369E-2</v>
      </c>
      <c r="M39" s="154">
        <v>-1.5205835257888578E-2</v>
      </c>
      <c r="N39" s="154">
        <v>-1.580119909604032E-2</v>
      </c>
      <c r="O39" s="154">
        <v>-1.7427598128554642E-2</v>
      </c>
      <c r="P39" s="154">
        <v>-1.9928228002317513E-2</v>
      </c>
      <c r="Q39" s="154">
        <v>-2.2123574543286145E-2</v>
      </c>
      <c r="R39" s="154">
        <v>3.9670479251825617E-2</v>
      </c>
      <c r="S39" s="154">
        <v>4.2625063983419725E-2</v>
      </c>
      <c r="T39" s="154">
        <v>4.5552659418402745E-2</v>
      </c>
      <c r="U39" s="154">
        <v>4.8807986480045376E-2</v>
      </c>
      <c r="V39" s="154">
        <v>5.3038196540874653E-2</v>
      </c>
      <c r="W39" s="154">
        <v>5.6308413173789915E-2</v>
      </c>
    </row>
    <row r="40" spans="1:24" ht="12" customHeight="1" x14ac:dyDescent="0.2">
      <c r="A40" s="3"/>
      <c r="C40" s="35"/>
      <c r="D40"/>
      <c r="E40" s="110" t="s">
        <v>133</v>
      </c>
      <c r="F40" s="154">
        <v>-3.6721778148902109E-3</v>
      </c>
      <c r="G40" s="154">
        <v>-5.1391297110149614E-3</v>
      </c>
      <c r="H40" s="154">
        <v>-6.6370028935728628E-3</v>
      </c>
      <c r="I40" s="154">
        <v>-8.2465176989398366E-3</v>
      </c>
      <c r="J40" s="154">
        <v>-9.9303048863151056E-3</v>
      </c>
      <c r="K40" s="154">
        <v>-1.1132221209058879E-2</v>
      </c>
      <c r="L40" s="154">
        <v>-1.1710920592009911E-2</v>
      </c>
      <c r="M40" s="154">
        <v>-1.2316460448957487E-2</v>
      </c>
      <c r="N40" s="154">
        <v>-1.2855186812140439E-2</v>
      </c>
      <c r="O40" s="154">
        <v>-1.4332792969060874E-2</v>
      </c>
      <c r="P40" s="154">
        <v>-1.6619499857744118E-2</v>
      </c>
      <c r="Q40" s="154">
        <v>-1.8639671603566221E-2</v>
      </c>
      <c r="R40" s="154">
        <v>3.3435790928805088E-2</v>
      </c>
      <c r="S40" s="154">
        <v>3.6167162572136972E-2</v>
      </c>
      <c r="T40" s="154">
        <v>3.8882636672162775E-2</v>
      </c>
      <c r="U40" s="154">
        <v>4.191169211585296E-2</v>
      </c>
      <c r="V40" s="154">
        <v>4.586148770316481E-2</v>
      </c>
      <c r="W40" s="154">
        <v>4.8924479769751714E-2</v>
      </c>
    </row>
    <row r="41" spans="1:24" ht="12" customHeight="1" x14ac:dyDescent="0.2">
      <c r="A41" s="3"/>
      <c r="C41" s="35"/>
      <c r="D41"/>
      <c r="E41" s="110" t="s">
        <v>134</v>
      </c>
      <c r="F41" s="154">
        <v>-2.5416001711276175E-3</v>
      </c>
      <c r="G41" s="154">
        <v>-3.7851768945599802E-3</v>
      </c>
      <c r="H41" s="154">
        <v>-5.0872239918851401E-3</v>
      </c>
      <c r="I41" s="154">
        <v>-6.5108628548928259E-3</v>
      </c>
      <c r="J41" s="154">
        <v>-8.0199611731968257E-3</v>
      </c>
      <c r="K41" s="154">
        <v>-9.1068179500725568E-3</v>
      </c>
      <c r="L41" s="154">
        <v>-9.6325394338854387E-3</v>
      </c>
      <c r="M41" s="154">
        <v>-1.018416324060172E-2</v>
      </c>
      <c r="N41" s="154">
        <v>-1.0676140453777671E-2</v>
      </c>
      <c r="O41" s="154">
        <v>-1.2030858990824475E-2</v>
      </c>
      <c r="P41" s="154">
        <v>-1.4140701912824126E-2</v>
      </c>
      <c r="Q41" s="154">
        <v>-1.6015880338303881E-2</v>
      </c>
      <c r="R41" s="154">
        <v>2.8739435137087339E-2</v>
      </c>
      <c r="S41" s="154">
        <v>3.1285880289119612E-2</v>
      </c>
      <c r="T41" s="154">
        <v>3.3825488993133153E-2</v>
      </c>
      <c r="U41" s="154">
        <v>3.6666808274552862E-2</v>
      </c>
      <c r="V41" s="154">
        <v>4.0383744183830603E-2</v>
      </c>
      <c r="W41" s="154">
        <v>4.3274509287411798E-2</v>
      </c>
    </row>
    <row r="42" spans="1:24" ht="12" customHeight="1" x14ac:dyDescent="0.2">
      <c r="A42" s="3"/>
      <c r="C42" s="35"/>
      <c r="D42"/>
      <c r="E42" s="110" t="s">
        <v>135</v>
      </c>
      <c r="F42" s="154">
        <v>-2.5435504412240212E-3</v>
      </c>
      <c r="G42" s="154">
        <v>-3.7875525022909246E-3</v>
      </c>
      <c r="H42" s="154">
        <v>-5.0899727140639017E-3</v>
      </c>
      <c r="I42" s="154">
        <v>-6.5139659370491649E-3</v>
      </c>
      <c r="J42" s="154">
        <v>-8.0233974703904781E-3</v>
      </c>
      <c r="K42" s="154">
        <v>-9.1104738180445566E-3</v>
      </c>
      <c r="L42" s="154">
        <v>-9.6362964269433426E-3</v>
      </c>
      <c r="M42" s="154">
        <v>-1.0188023166498429E-2</v>
      </c>
      <c r="N42" s="154">
        <v>-1.0680089643874912E-2</v>
      </c>
      <c r="O42" s="154">
        <v>-1.2035042888085882E-2</v>
      </c>
      <c r="P42" s="154">
        <v>-1.4145223767153835E-2</v>
      </c>
      <c r="Q42" s="154">
        <v>-1.602067939141618E-2</v>
      </c>
      <c r="R42" s="154">
        <v>2.8748025844743837E-2</v>
      </c>
      <c r="S42" s="154">
        <v>3.129482468670975E-2</v>
      </c>
      <c r="T42" s="154">
        <v>3.3834769860064298E-2</v>
      </c>
      <c r="U42" s="154">
        <v>3.6676448441213559E-2</v>
      </c>
      <c r="V42" s="154">
        <v>4.0393830182550869E-2</v>
      </c>
      <c r="W42" s="154">
        <v>4.3284925155271131E-2</v>
      </c>
    </row>
    <row r="43" spans="1:24" ht="12" customHeight="1" x14ac:dyDescent="0.2">
      <c r="A43" s="3"/>
      <c r="C43" s="35"/>
      <c r="D43"/>
      <c r="E43" t="s">
        <v>144</v>
      </c>
      <c r="F43" s="154">
        <v>-1.4511856811091663E-3</v>
      </c>
      <c r="G43" s="154">
        <v>-2.4230011827159415E-3</v>
      </c>
      <c r="H43" s="154">
        <v>-3.4864719793123319E-3</v>
      </c>
      <c r="I43" s="154">
        <v>-4.6833677446967486E-3</v>
      </c>
      <c r="J43" s="154">
        <v>-5.9791106743049931E-3</v>
      </c>
      <c r="K43" s="154">
        <v>-6.925301801685841E-3</v>
      </c>
      <c r="L43" s="154">
        <v>-7.3862181808330716E-3</v>
      </c>
      <c r="M43" s="154">
        <v>-7.8718651273767207E-3</v>
      </c>
      <c r="N43" s="154">
        <v>-8.3066157930713133E-3</v>
      </c>
      <c r="O43" s="154">
        <v>-9.510817077945136E-3</v>
      </c>
      <c r="P43" s="154">
        <v>-1.1403804644934384E-2</v>
      </c>
      <c r="Q43" s="154">
        <v>-1.3101003707603569E-2</v>
      </c>
      <c r="R43" s="154">
        <v>2.3520900944469788E-2</v>
      </c>
      <c r="S43" s="154">
        <v>2.5840139509227613E-2</v>
      </c>
      <c r="T43" s="154">
        <v>2.8163517978912127E-2</v>
      </c>
      <c r="U43" s="154">
        <v>3.0773841836546561E-2</v>
      </c>
      <c r="V43" s="154">
        <v>3.4204014880503335E-2</v>
      </c>
      <c r="W43" s="154">
        <v>3.6882507864192948E-2</v>
      </c>
    </row>
    <row r="44" spans="1:24" ht="12" customHeight="1" x14ac:dyDescent="0.2">
      <c r="A44" s="3"/>
      <c r="C44" s="35"/>
      <c r="D44"/>
      <c r="E44" s="110" t="s">
        <v>136</v>
      </c>
      <c r="F44" s="154">
        <v>-9.1898992851441735E-3</v>
      </c>
      <c r="G44" s="154">
        <v>-1.1418499132788936E-2</v>
      </c>
      <c r="H44" s="154">
        <v>-1.3582217176171448E-2</v>
      </c>
      <c r="I44" s="154">
        <v>-1.5822123656133232E-2</v>
      </c>
      <c r="J44" s="154">
        <v>-1.8096916414271653E-2</v>
      </c>
      <c r="K44" s="154">
        <v>-1.9687332252388598E-2</v>
      </c>
      <c r="L44" s="154">
        <v>-2.0444705871208353E-2</v>
      </c>
      <c r="M44" s="154">
        <v>-2.1231950200371302E-2</v>
      </c>
      <c r="N44" s="154">
        <v>-2.1928118130672795E-2</v>
      </c>
      <c r="O44" s="154">
        <v>-2.3819098170840925E-2</v>
      </c>
      <c r="P44" s="154">
        <v>-2.6699502738313279E-2</v>
      </c>
      <c r="Q44" s="154">
        <v>-2.9205285376185865E-2</v>
      </c>
      <c r="R44" s="154">
        <v>5.2340562446391209E-2</v>
      </c>
      <c r="S44" s="154">
        <v>5.5690144450538735E-2</v>
      </c>
      <c r="T44" s="154">
        <v>5.8992684392360592E-2</v>
      </c>
      <c r="U44" s="154">
        <v>6.2647507706328265E-2</v>
      </c>
      <c r="V44" s="154">
        <v>6.73721408087367E-2</v>
      </c>
      <c r="W44" s="154">
        <v>7.1007254581106974E-2</v>
      </c>
    </row>
    <row r="45" spans="1:24" ht="12" customHeight="1" x14ac:dyDescent="0.2">
      <c r="A45" s="3"/>
      <c r="C45" s="35"/>
      <c r="D45"/>
      <c r="E45" s="110" t="s">
        <v>137</v>
      </c>
      <c r="F45" s="154">
        <v>-7.4142916369507898E-3</v>
      </c>
      <c r="G45" s="154">
        <v>-9.4342653914468357E-3</v>
      </c>
      <c r="H45" s="155">
        <v>-1.1415888756177181E-2</v>
      </c>
      <c r="I45" s="155">
        <v>-1.3483647483846336E-2</v>
      </c>
      <c r="J45" s="155">
        <v>-1.5597272097342121E-2</v>
      </c>
      <c r="K45" s="155">
        <v>-1.7081862670224702E-2</v>
      </c>
      <c r="L45" s="155">
        <v>-1.7790598304101613E-2</v>
      </c>
      <c r="M45" s="155">
        <v>-1.8528400517781703E-2</v>
      </c>
      <c r="N45" s="155">
        <v>-1.9181745290103025E-2</v>
      </c>
      <c r="O45" s="155">
        <v>-2.0960365541404801E-2</v>
      </c>
      <c r="P45" s="154">
        <v>-2.3679588984454315E-2</v>
      </c>
      <c r="Q45" s="154">
        <v>-2.6053705624716955E-2</v>
      </c>
      <c r="R45" s="154">
        <v>4.6702430075495613E-2</v>
      </c>
      <c r="S45" s="155">
        <v>4.9884571186133667E-2</v>
      </c>
      <c r="T45" s="155">
        <v>5.3028237968382221E-2</v>
      </c>
      <c r="U45" s="155">
        <v>5.6513857854477316E-2</v>
      </c>
      <c r="V45" s="155">
        <v>6.1029187524826896E-2</v>
      </c>
      <c r="W45" s="155">
        <v>6.45099057202774E-2</v>
      </c>
    </row>
    <row r="46" spans="1:24" s="15" customFormat="1" ht="13.5" customHeight="1" x14ac:dyDescent="0.2">
      <c r="A46"/>
      <c r="B46"/>
      <c r="C46"/>
      <c r="D46"/>
      <c r="E46" s="110" t="s">
        <v>138</v>
      </c>
      <c r="F46" s="154">
        <v>-5.9239973827396042E-3</v>
      </c>
      <c r="G46" s="154">
        <v>-7.747022401468095E-3</v>
      </c>
      <c r="H46" s="154">
        <v>-9.5565420960507901E-3</v>
      </c>
      <c r="I46" s="154">
        <v>-1.14614236397523E-2</v>
      </c>
      <c r="J46" s="154">
        <v>-1.3422403587194204E-2</v>
      </c>
      <c r="K46" s="154">
        <v>-1.4806682622615192E-2</v>
      </c>
      <c r="L46" s="154">
        <v>-1.5469292174424389E-2</v>
      </c>
      <c r="M46" s="154">
        <v>-1.6160191260394804E-2</v>
      </c>
      <c r="N46" s="154">
        <v>-1.6772900140818947E-2</v>
      </c>
      <c r="O46" s="154">
        <v>-1.8444847066931433E-2</v>
      </c>
      <c r="P46" s="154">
        <v>-2.1010912483717295E-2</v>
      </c>
      <c r="Q46" s="154">
        <v>-2.3259797988149058E-2</v>
      </c>
      <c r="R46" s="154">
        <v>4.1703583999703184E-2</v>
      </c>
      <c r="S46" s="154">
        <v>4.4726343885211663E-2</v>
      </c>
      <c r="T46" s="154">
        <v>4.7718692567346288E-2</v>
      </c>
      <c r="U46" s="154">
        <v>5.1043055396745841E-2</v>
      </c>
      <c r="V46" s="154">
        <v>5.5358766623616044E-2</v>
      </c>
      <c r="W46" s="154">
        <v>5.8692129498750314E-2</v>
      </c>
      <c r="X46"/>
    </row>
    <row r="47" spans="1:24" s="15" customFormat="1" ht="13.5" customHeight="1" x14ac:dyDescent="0.25">
      <c r="A47" s="9" t="s">
        <v>21</v>
      </c>
      <c r="B47" s="6"/>
      <c r="C47" s="6"/>
      <c r="D47" s="6"/>
      <c r="E47" s="110" t="s">
        <v>139</v>
      </c>
      <c r="F47" s="155">
        <v>-4.7364757621505089E-3</v>
      </c>
      <c r="G47" s="154">
        <v>-6.3828081741363748E-3</v>
      </c>
      <c r="H47" s="154">
        <v>-8.0377597714531984E-3</v>
      </c>
      <c r="I47" s="154">
        <v>-9.7962160915844466E-3</v>
      </c>
      <c r="J47" s="154">
        <v>-1.1619841622033427E-2</v>
      </c>
      <c r="K47" s="155">
        <v>-1.2913788987975072E-2</v>
      </c>
      <c r="L47" s="155">
        <v>-1.3534843172114709E-2</v>
      </c>
      <c r="M47" s="155">
        <v>-1.4183474948895932E-2</v>
      </c>
      <c r="N47" s="155">
        <v>-1.475955457807593E-2</v>
      </c>
      <c r="O47" s="155">
        <v>-1.6335302748821837E-2</v>
      </c>
      <c r="P47" s="155">
        <v>-1.8763138527845023E-2</v>
      </c>
      <c r="Q47" s="155">
        <v>-2.0898900993620344E-2</v>
      </c>
      <c r="R47" s="155">
        <v>3.7478977116819329E-2</v>
      </c>
      <c r="S47" s="154">
        <v>4.0357663669891818E-2</v>
      </c>
      <c r="T47" s="155">
        <v>4.3213151568501161E-2</v>
      </c>
      <c r="U47" s="155">
        <v>4.6391581691021609E-2</v>
      </c>
      <c r="V47" s="155">
        <v>5.0526524803469641E-2</v>
      </c>
      <c r="W47" s="155">
        <v>5.3726361396463841E-2</v>
      </c>
    </row>
    <row r="48" spans="1:24" x14ac:dyDescent="0.2">
      <c r="E48" s="110" t="s">
        <v>82</v>
      </c>
      <c r="F48" s="155">
        <v>-7.2356553621593289E-4</v>
      </c>
      <c r="G48" s="154">
        <v>-1.1985508369090308E-3</v>
      </c>
      <c r="H48" s="154">
        <v>-1.7167788747133987E-3</v>
      </c>
      <c r="I48" s="154">
        <v>-2.2989206222654764E-3</v>
      </c>
      <c r="J48" s="154">
        <v>-2.9282902724510058E-3</v>
      </c>
      <c r="K48" s="155">
        <v>-3.3874751310012143E-3</v>
      </c>
      <c r="L48" s="155">
        <v>-3.6110587380362639E-3</v>
      </c>
      <c r="M48" s="155">
        <v>-3.8465778111304383E-3</v>
      </c>
      <c r="N48" s="155">
        <v>-4.0573657050737835E-3</v>
      </c>
      <c r="O48" s="155">
        <v>-4.6410086561737268E-3</v>
      </c>
      <c r="P48" s="155">
        <v>-5.5579647228582406E-3</v>
      </c>
      <c r="Q48" s="155">
        <v>-6.3796465378192137E-3</v>
      </c>
      <c r="R48" s="155">
        <v>2.3794383052220341E-2</v>
      </c>
      <c r="S48" s="155">
        <v>2.6126199574299146E-2</v>
      </c>
      <c r="T48" s="155">
        <v>2.8461552826907658E-2</v>
      </c>
      <c r="U48" s="155">
        <v>3.1084674011745236E-2</v>
      </c>
      <c r="V48" s="155">
        <v>3.4530740980165078E-2</v>
      </c>
      <c r="W48" s="155">
        <v>3.7221004285136361E-2</v>
      </c>
    </row>
    <row r="49" spans="5:24" x14ac:dyDescent="0.2">
      <c r="E49" s="110" t="s">
        <v>140</v>
      </c>
      <c r="F49" s="155">
        <v>-5.2268544620873541E-5</v>
      </c>
      <c r="G49" s="154">
        <v>-2.2410243196157825E-4</v>
      </c>
      <c r="H49" s="154">
        <v>-4.7554912380369058E-4</v>
      </c>
      <c r="I49" s="154">
        <v>-8.0357523845056035E-4</v>
      </c>
      <c r="J49" s="154">
        <v>-1.1933244188399997E-3</v>
      </c>
      <c r="K49" s="155">
        <v>-1.4942548877484494E-3</v>
      </c>
      <c r="L49" s="155">
        <v>-1.6448569575818364E-3</v>
      </c>
      <c r="M49" s="155">
        <v>-1.8060272193754277E-3</v>
      </c>
      <c r="N49" s="155">
        <v>-1.9522878758854072E-3</v>
      </c>
      <c r="O49" s="155">
        <v>-2.3660371048414026E-3</v>
      </c>
      <c r="P49" s="155">
        <v>-3.0377740858479885E-3</v>
      </c>
      <c r="Q49" s="155">
        <v>-3.6577986395403251E-3</v>
      </c>
      <c r="R49" s="155">
        <v>1.3665741322642401E-2</v>
      </c>
      <c r="S49" s="155">
        <v>1.5461874414686379E-2</v>
      </c>
      <c r="T49" s="155">
        <v>1.7286776160522273E-2</v>
      </c>
      <c r="U49" s="155">
        <v>1.9363886406033169E-2</v>
      </c>
      <c r="V49" s="155">
        <v>2.2131101457238091E-2</v>
      </c>
      <c r="W49" s="155">
        <v>2.4318117186407251E-2</v>
      </c>
    </row>
    <row r="50" spans="5:24" x14ac:dyDescent="0.2">
      <c r="E50" s="127" t="s">
        <v>31</v>
      </c>
      <c r="F50" s="156">
        <v>0</v>
      </c>
      <c r="G50" s="154">
        <v>-1.2455191560281303E-4</v>
      </c>
      <c r="H50" s="154">
        <v>-4.4189544910489345E-4</v>
      </c>
      <c r="I50" s="154">
        <v>-9.2763813882256016E-4</v>
      </c>
      <c r="J50" s="154">
        <v>-1.5523894588696206E-3</v>
      </c>
      <c r="K50" s="154">
        <v>-2.055216170398061E-3</v>
      </c>
      <c r="L50" s="154">
        <v>-2.3116097256613618E-3</v>
      </c>
      <c r="M50" s="154">
        <v>-2.5888642750315481E-3</v>
      </c>
      <c r="N50" s="154">
        <v>-2.842720336206746E-3</v>
      </c>
      <c r="O50" s="154">
        <v>-3.5705055446523075E-3</v>
      </c>
      <c r="P50" s="154">
        <v>-4.7754926780398917E-3</v>
      </c>
      <c r="Q50" s="154">
        <v>-5.9065921150529962E-3</v>
      </c>
      <c r="R50" s="154">
        <v>1.0631954837675907E-2</v>
      </c>
      <c r="S50" s="154">
        <v>1.2227016135252787E-2</v>
      </c>
      <c r="T50" s="154">
        <v>1.3860078571468608E-2</v>
      </c>
      <c r="U50" s="154">
        <v>1.5731725941507704E-2</v>
      </c>
      <c r="V50" s="154">
        <v>1.8243112970346798E-2</v>
      </c>
      <c r="W50" s="154">
        <v>2.024020542736682E-2</v>
      </c>
      <c r="X50"/>
    </row>
    <row r="51" spans="5:24" x14ac:dyDescent="0.2">
      <c r="E51" s="127" t="s">
        <v>32</v>
      </c>
      <c r="F51" s="156">
        <v>-1.2455191560281303E-4</v>
      </c>
      <c r="G51" s="156">
        <v>0</v>
      </c>
      <c r="H51" s="154">
        <v>-9.7306939880200923E-5</v>
      </c>
      <c r="I51" s="154">
        <v>-3.7274143691758675E-4</v>
      </c>
      <c r="J51" s="154">
        <v>-7.985339627044327E-4</v>
      </c>
      <c r="K51" s="154">
        <v>-1.1696138871917024E-3</v>
      </c>
      <c r="L51" s="154">
        <v>-1.3651567865437938E-3</v>
      </c>
      <c r="M51" s="154">
        <v>-1.5803597241210155E-3</v>
      </c>
      <c r="N51" s="154">
        <v>-1.7803112658896635E-3</v>
      </c>
      <c r="O51" s="154">
        <v>-2.3659480867878032E-3</v>
      </c>
      <c r="P51" s="154">
        <v>-3.3651882392427431E-3</v>
      </c>
      <c r="Q51" s="154">
        <v>-4.3265768162918487E-3</v>
      </c>
      <c r="R51" s="154">
        <v>7.7982029786097971E-3</v>
      </c>
      <c r="S51" s="154">
        <v>9.1757262782130415E-3</v>
      </c>
      <c r="T51" s="154">
        <v>1.0601094703706845E-2</v>
      </c>
      <c r="U51" s="154">
        <v>1.2250141081367986E-2</v>
      </c>
      <c r="V51" s="154">
        <v>1.4484131657771135E-2</v>
      </c>
      <c r="W51" s="154">
        <v>1.6275123067985533E-2</v>
      </c>
      <c r="X51"/>
    </row>
    <row r="52" spans="5:24" x14ac:dyDescent="0.2">
      <c r="E52" s="127" t="s">
        <v>33</v>
      </c>
      <c r="F52" s="156">
        <v>-4.4189544910489345E-4</v>
      </c>
      <c r="G52" s="157">
        <v>-9.7306939880200923E-5</v>
      </c>
      <c r="H52" s="157">
        <v>0</v>
      </c>
      <c r="I52" s="155">
        <v>-8.9202901064174383E-5</v>
      </c>
      <c r="J52" s="155">
        <v>-3.3861348040091374E-4</v>
      </c>
      <c r="K52" s="154">
        <v>-5.9278897989945847E-4</v>
      </c>
      <c r="L52" s="154">
        <v>-7.3430752712417755E-4</v>
      </c>
      <c r="M52" s="154">
        <v>-8.9440095681356583E-4</v>
      </c>
      <c r="N52" s="154">
        <v>-1.0464630829104718E-3</v>
      </c>
      <c r="O52" s="154">
        <v>-1.5057441689535827E-3</v>
      </c>
      <c r="P52" s="154">
        <v>-2.3219167876567773E-3</v>
      </c>
      <c r="Q52" s="154">
        <v>-3.1321414648382098E-3</v>
      </c>
      <c r="R52" s="154">
        <v>5.6544152253294637E-3</v>
      </c>
      <c r="S52" s="154">
        <v>6.8380067033209967E-3</v>
      </c>
      <c r="T52" s="154">
        <v>8.0780932807662537E-3</v>
      </c>
      <c r="U52" s="154">
        <v>9.5284222992107429E-3</v>
      </c>
      <c r="V52" s="154">
        <v>1.1514579461998272E-2</v>
      </c>
      <c r="W52" s="154">
        <v>1.3121290199751825E-2</v>
      </c>
      <c r="X52"/>
    </row>
    <row r="53" spans="5:24" x14ac:dyDescent="0.2">
      <c r="E53" s="127" t="s">
        <v>34</v>
      </c>
      <c r="F53" s="156">
        <v>-9.2763813882256016E-4</v>
      </c>
      <c r="G53" s="157">
        <v>-3.7274143691758675E-4</v>
      </c>
      <c r="H53" s="157">
        <v>-8.9202901064174383E-5</v>
      </c>
      <c r="I53" s="157">
        <v>0</v>
      </c>
      <c r="J53" s="155">
        <v>-8.0263917629236337E-5</v>
      </c>
      <c r="K53" s="154">
        <v>-2.2223557395384868E-4</v>
      </c>
      <c r="L53" s="154">
        <v>-3.1187640715844622E-4</v>
      </c>
      <c r="M53" s="154">
        <v>-4.190333767100634E-4</v>
      </c>
      <c r="N53" s="154">
        <v>-5.2508071662654622E-4</v>
      </c>
      <c r="O53" s="154">
        <v>-8.6289090586437456E-4</v>
      </c>
      <c r="P53" s="154">
        <v>-1.5029149137049541E-3</v>
      </c>
      <c r="Q53" s="154">
        <v>-2.1675469270983371E-3</v>
      </c>
      <c r="R53" s="154">
        <v>3.9215318904969347E-3</v>
      </c>
      <c r="S53" s="154">
        <v>4.9181904480138433E-3</v>
      </c>
      <c r="T53" s="154">
        <v>5.979570312728796E-3</v>
      </c>
      <c r="U53" s="154">
        <v>7.238112151907056E-3</v>
      </c>
      <c r="V53" s="154">
        <v>8.9849014650671306E-3</v>
      </c>
      <c r="W53" s="154">
        <v>1.0413497774466105E-2</v>
      </c>
      <c r="X53"/>
    </row>
    <row r="54" spans="5:24" x14ac:dyDescent="0.2">
      <c r="E54" s="127" t="s">
        <v>35</v>
      </c>
      <c r="F54" s="156">
        <v>-1.5523894588696206E-3</v>
      </c>
      <c r="G54" s="157">
        <v>-7.985339627044327E-4</v>
      </c>
      <c r="H54" s="157">
        <v>-3.3861348040091374E-4</v>
      </c>
      <c r="I54" s="157">
        <v>-8.0263917629236337E-5</v>
      </c>
      <c r="J54" s="157">
        <v>0</v>
      </c>
      <c r="K54" s="154">
        <v>-3.5399198743268734E-5</v>
      </c>
      <c r="L54" s="154">
        <v>-7.5742795602823959E-5</v>
      </c>
      <c r="M54" s="154">
        <v>-1.3258130140777954E-4</v>
      </c>
      <c r="N54" s="154">
        <v>-1.948770973337064E-4</v>
      </c>
      <c r="O54" s="154">
        <v>-4.171352836668925E-4</v>
      </c>
      <c r="P54" s="154">
        <v>-8.8945002947578267E-4</v>
      </c>
      <c r="Q54" s="154">
        <v>-1.4153357753779571E-3</v>
      </c>
      <c r="R54" s="154">
        <v>2.568459676431828E-3</v>
      </c>
      <c r="S54" s="154">
        <v>3.3868405263510946E-3</v>
      </c>
      <c r="T54" s="154">
        <v>4.277686400146123E-3</v>
      </c>
      <c r="U54" s="154">
        <v>5.3531010570997675E-3</v>
      </c>
      <c r="V54" s="154">
        <v>6.8711691081546709E-3</v>
      </c>
      <c r="W54" s="154">
        <v>8.1294559208463946E-3</v>
      </c>
      <c r="X54"/>
    </row>
    <row r="55" spans="5:24" x14ac:dyDescent="0.2">
      <c r="E55" s="127" t="s">
        <v>36</v>
      </c>
      <c r="F55" s="156">
        <v>-2.055216170398061E-3</v>
      </c>
      <c r="G55" s="156">
        <v>-1.1696138871917024E-3</v>
      </c>
      <c r="H55" s="156">
        <v>-5.9278897989945847E-4</v>
      </c>
      <c r="I55" s="156">
        <v>-2.2223557395384868E-4</v>
      </c>
      <c r="J55" s="156">
        <v>-3.5399198743268734E-5</v>
      </c>
      <c r="K55" s="156">
        <v>0</v>
      </c>
      <c r="L55" s="154">
        <v>-7.5818764243007198E-6</v>
      </c>
      <c r="M55" s="154">
        <v>-3.0971821734713544E-5</v>
      </c>
      <c r="N55" s="154">
        <v>-6.4177631546012446E-5</v>
      </c>
      <c r="O55" s="154">
        <v>-2.0957638146998342E-4</v>
      </c>
      <c r="P55" s="154">
        <v>-5.7026169232180575E-4</v>
      </c>
      <c r="Q55" s="154">
        <v>-1.0037264928900254E-3</v>
      </c>
      <c r="R55" s="154">
        <v>1.8269253662324301E-3</v>
      </c>
      <c r="S55" s="154">
        <v>2.5264797581271946E-3</v>
      </c>
      <c r="T55" s="154">
        <v>3.3036056239345002E-3</v>
      </c>
      <c r="U55" s="154">
        <v>4.2568425481176999E-3</v>
      </c>
      <c r="V55" s="154">
        <v>5.6222260606203257E-3</v>
      </c>
      <c r="W55" s="154">
        <v>6.766758050400906E-3</v>
      </c>
      <c r="X55"/>
    </row>
    <row r="56" spans="5:24" x14ac:dyDescent="0.2">
      <c r="E56" s="127" t="s">
        <v>37</v>
      </c>
      <c r="F56" s="156">
        <v>-2.3116097256613618E-3</v>
      </c>
      <c r="G56" s="156">
        <v>-1.3651567865437938E-3</v>
      </c>
      <c r="H56" s="156">
        <v>-7.3430752712417755E-4</v>
      </c>
      <c r="I56" s="156">
        <v>-3.1187640715844622E-4</v>
      </c>
      <c r="J56" s="156">
        <v>-7.5742795602823959E-5</v>
      </c>
      <c r="K56" s="156">
        <v>-7.5818764243007198E-6</v>
      </c>
      <c r="L56" s="156">
        <v>0</v>
      </c>
      <c r="M56" s="154">
        <v>-7.9060838111675722E-6</v>
      </c>
      <c r="N56" s="154">
        <v>-2.7643872503433116E-5</v>
      </c>
      <c r="O56" s="154">
        <v>-1.3745028600320078E-4</v>
      </c>
      <c r="P56" s="154">
        <v>-4.4642085469248166E-4</v>
      </c>
      <c r="Q56" s="154">
        <v>-8.3705080490899242E-4</v>
      </c>
      <c r="R56" s="154">
        <v>1.5262789615706756E-3</v>
      </c>
      <c r="S56" s="154">
        <v>2.1707404137918372E-3</v>
      </c>
      <c r="T56" s="154">
        <v>2.8951260242814233E-3</v>
      </c>
      <c r="U56" s="154">
        <v>3.7916839695970486E-3</v>
      </c>
      <c r="V56" s="154">
        <v>5.0862124602913767E-3</v>
      </c>
      <c r="W56" s="154">
        <v>6.1779379944278904E-3</v>
      </c>
      <c r="X56"/>
    </row>
    <row r="57" spans="5:24" x14ac:dyDescent="0.2">
      <c r="E57" s="127" t="s">
        <v>38</v>
      </c>
      <c r="F57" s="156">
        <v>-2.5888642750315481E-3</v>
      </c>
      <c r="G57" s="156">
        <v>-1.5803597241210155E-3</v>
      </c>
      <c r="H57" s="156">
        <v>-8.9440095681356583E-4</v>
      </c>
      <c r="I57" s="156">
        <v>-4.190333767100634E-4</v>
      </c>
      <c r="J57" s="156">
        <v>-1.3258130140777954E-4</v>
      </c>
      <c r="K57" s="156">
        <v>-3.0971821734713544E-5</v>
      </c>
      <c r="L57" s="156">
        <v>-7.9060838111675722E-6</v>
      </c>
      <c r="M57" s="156">
        <v>0</v>
      </c>
      <c r="N57" s="154">
        <v>-5.9830201783627108E-6</v>
      </c>
      <c r="O57" s="154">
        <v>-7.9434000058727937E-5</v>
      </c>
      <c r="P57" s="154">
        <v>-3.3556734608663195E-4</v>
      </c>
      <c r="Q57" s="154">
        <v>-6.8242037833951118E-4</v>
      </c>
      <c r="R57" s="154">
        <v>1.2470819602406361E-3</v>
      </c>
      <c r="S57" s="154">
        <v>1.8352258771677978E-3</v>
      </c>
      <c r="T57" s="154">
        <v>2.5056891972909424E-3</v>
      </c>
      <c r="U57" s="154">
        <v>3.3442872126235239E-3</v>
      </c>
      <c r="V57" s="154">
        <v>4.566343802092759E-3</v>
      </c>
      <c r="W57" s="154">
        <v>5.6040465884348353E-3</v>
      </c>
      <c r="X57"/>
    </row>
    <row r="58" spans="5:24" x14ac:dyDescent="0.2">
      <c r="E58" s="127" t="s">
        <v>39</v>
      </c>
      <c r="F58" s="156">
        <v>-2.842720336206746E-3</v>
      </c>
      <c r="G58" s="156">
        <v>-1.7803112658896635E-3</v>
      </c>
      <c r="H58" s="156">
        <v>-1.0464630829104718E-3</v>
      </c>
      <c r="I58" s="156">
        <v>-5.2508071662654622E-4</v>
      </c>
      <c r="J58" s="156">
        <v>-1.948770973337064E-4</v>
      </c>
      <c r="K58" s="156">
        <v>-6.4177631546012446E-5</v>
      </c>
      <c r="L58" s="156">
        <v>-2.7643872503433116E-5</v>
      </c>
      <c r="M58" s="156">
        <v>-5.9830201783627108E-6</v>
      </c>
      <c r="N58" s="156">
        <v>0</v>
      </c>
      <c r="O58" s="154">
        <v>-4.1819002314396884E-5</v>
      </c>
      <c r="P58" s="154">
        <v>-2.519686858472653E-4</v>
      </c>
      <c r="Q58" s="154">
        <v>-5.6071300145217693E-4</v>
      </c>
      <c r="R58" s="154">
        <v>1.0270788997893423E-3</v>
      </c>
      <c r="S58" s="154">
        <v>1.5661865898579416E-3</v>
      </c>
      <c r="T58" s="154">
        <v>2.1896912359191624E-3</v>
      </c>
      <c r="U58" s="154">
        <v>2.9778056081078944E-3</v>
      </c>
      <c r="V58" s="154">
        <v>4.1367256913426723E-3</v>
      </c>
      <c r="W58" s="154">
        <v>5.1273553336236115E-3</v>
      </c>
      <c r="X58"/>
    </row>
    <row r="59" spans="5:24" x14ac:dyDescent="0.2">
      <c r="E59" s="127" t="s">
        <v>40</v>
      </c>
      <c r="F59" s="156">
        <v>-3.5705055446523075E-3</v>
      </c>
      <c r="G59" s="156">
        <v>-2.3659480867878032E-3</v>
      </c>
      <c r="H59" s="156">
        <v>-1.5057441689535827E-3</v>
      </c>
      <c r="I59" s="156">
        <v>-8.6289090586437456E-4</v>
      </c>
      <c r="J59" s="156">
        <v>-4.171352836668925E-4</v>
      </c>
      <c r="K59" s="156">
        <v>-2.0957638146998342E-4</v>
      </c>
      <c r="L59" s="156">
        <v>-1.3745028600320078E-4</v>
      </c>
      <c r="M59" s="156">
        <v>-7.9434000058727937E-5</v>
      </c>
      <c r="N59" s="156">
        <v>-4.1819002314396884E-5</v>
      </c>
      <c r="O59" s="156">
        <v>0</v>
      </c>
      <c r="P59" s="154">
        <v>-8.8513847673454078E-5</v>
      </c>
      <c r="Q59" s="154">
        <v>-2.9640761700665789E-4</v>
      </c>
      <c r="R59" s="154">
        <v>5.4806613708002533E-4</v>
      </c>
      <c r="S59" s="154">
        <v>9.5735704793439499E-4</v>
      </c>
      <c r="T59" s="154">
        <v>1.4565089809376963E-3</v>
      </c>
      <c r="U59" s="154">
        <v>2.1108967175566787E-3</v>
      </c>
      <c r="V59" s="154">
        <v>3.1025163359502598E-3</v>
      </c>
      <c r="W59" s="154">
        <v>3.968368816634163E-3</v>
      </c>
      <c r="X59"/>
    </row>
    <row r="60" spans="5:24" x14ac:dyDescent="0.2">
      <c r="E60" s="127" t="s">
        <v>41</v>
      </c>
      <c r="F60" s="156">
        <v>-4.7754926780398917E-3</v>
      </c>
      <c r="G60" s="156">
        <v>-3.3651882392427431E-3</v>
      </c>
      <c r="H60" s="156">
        <v>-2.3219167876567773E-3</v>
      </c>
      <c r="I60" s="156">
        <v>-1.5029149137049541E-3</v>
      </c>
      <c r="J60" s="156">
        <v>-8.8945002947578267E-4</v>
      </c>
      <c r="K60" s="156">
        <v>-5.7026169232180575E-4</v>
      </c>
      <c r="L60" s="156">
        <v>-4.4642085469248166E-4</v>
      </c>
      <c r="M60" s="156">
        <v>-3.3556734608663195E-4</v>
      </c>
      <c r="N60" s="156">
        <v>-2.519686858472653E-4</v>
      </c>
      <c r="O60" s="156">
        <v>-8.8513847673454078E-5</v>
      </c>
      <c r="P60" s="156">
        <v>0</v>
      </c>
      <c r="Q60" s="154">
        <v>-6.0998791936577786E-5</v>
      </c>
      <c r="R60" s="154">
        <v>1.1750002974635772E-4</v>
      </c>
      <c r="S60" s="154">
        <v>3.3758085770764387E-4</v>
      </c>
      <c r="T60" s="154">
        <v>6.5539322673941174E-4</v>
      </c>
      <c r="U60" s="154">
        <v>1.1146694500871128E-3</v>
      </c>
      <c r="V60" s="154">
        <v>1.8620426114014312E-3</v>
      </c>
      <c r="W60" s="154">
        <v>2.5456209288394244E-3</v>
      </c>
      <c r="X60"/>
    </row>
    <row r="61" spans="5:24" x14ac:dyDescent="0.2">
      <c r="E61" s="127" t="s">
        <v>42</v>
      </c>
      <c r="F61" s="156">
        <v>-5.9065921150529962E-3</v>
      </c>
      <c r="G61" s="156">
        <v>-4.3265768162918487E-3</v>
      </c>
      <c r="H61" s="156">
        <v>-3.1321414648382098E-3</v>
      </c>
      <c r="I61" s="156">
        <v>-2.1675469270983371E-3</v>
      </c>
      <c r="J61" s="156">
        <v>-1.4153357753779571E-3</v>
      </c>
      <c r="K61" s="156">
        <v>-1.0037264928900254E-3</v>
      </c>
      <c r="L61" s="156">
        <v>-8.3705080490899242E-4</v>
      </c>
      <c r="M61" s="156">
        <v>-6.8242037833951118E-4</v>
      </c>
      <c r="N61" s="156">
        <v>-5.6071300145217693E-4</v>
      </c>
      <c r="O61" s="156">
        <v>-2.9640761700665789E-4</v>
      </c>
      <c r="P61" s="156">
        <v>-6.0998791936577786E-5</v>
      </c>
      <c r="Q61" s="156">
        <v>0</v>
      </c>
      <c r="R61" s="154">
        <v>1.6141509077245456E-7</v>
      </c>
      <c r="S61" s="154">
        <v>6.29897912785399E-5</v>
      </c>
      <c r="T61" s="154">
        <v>2.3000660227049532E-4</v>
      </c>
      <c r="U61" s="154">
        <v>5.2694270313030666E-4</v>
      </c>
      <c r="V61" s="154">
        <v>1.070958461691819E-3</v>
      </c>
      <c r="W61" s="154">
        <v>1.6026787744625247E-3</v>
      </c>
      <c r="X61"/>
    </row>
    <row r="62" spans="5:24" x14ac:dyDescent="0.2">
      <c r="E62" s="127" t="s">
        <v>43</v>
      </c>
      <c r="F62" s="156">
        <v>1.0631954837675907E-2</v>
      </c>
      <c r="G62" s="156">
        <v>7.7982029786097971E-3</v>
      </c>
      <c r="H62" s="156">
        <v>5.6544152253294637E-3</v>
      </c>
      <c r="I62" s="156">
        <v>3.9215318904969347E-3</v>
      </c>
      <c r="J62" s="156">
        <v>2.568459676431828E-3</v>
      </c>
      <c r="K62" s="156">
        <v>1.8269253662324301E-3</v>
      </c>
      <c r="L62" s="156">
        <v>1.5262789615706756E-3</v>
      </c>
      <c r="M62" s="156">
        <v>1.2470819602406361E-3</v>
      </c>
      <c r="N62" s="156">
        <v>1.0270788997893423E-3</v>
      </c>
      <c r="O62" s="156">
        <v>5.4806613708002533E-4</v>
      </c>
      <c r="P62" s="156">
        <v>1.1750002974635772E-4</v>
      </c>
      <c r="Q62" s="156">
        <v>1.6141509077245456E-7</v>
      </c>
      <c r="R62" s="156">
        <v>0</v>
      </c>
      <c r="S62" s="154">
        <v>5.6774199974241575E-5</v>
      </c>
      <c r="T62" s="154">
        <v>2.1798389389114282E-4</v>
      </c>
      <c r="U62" s="154">
        <v>5.0866662276301939E-4</v>
      </c>
      <c r="V62" s="154">
        <v>1.0448465619731968E-3</v>
      </c>
      <c r="W62" s="154">
        <v>1.570713660314114E-3</v>
      </c>
      <c r="X62"/>
    </row>
    <row r="63" spans="5:24" x14ac:dyDescent="0.2">
      <c r="E63" s="127" t="s">
        <v>44</v>
      </c>
      <c r="F63" s="156">
        <v>1.2227016135252787E-2</v>
      </c>
      <c r="G63" s="156">
        <v>9.1757262782130415E-3</v>
      </c>
      <c r="H63" s="156">
        <v>6.8380067033209967E-3</v>
      </c>
      <c r="I63" s="156">
        <v>4.9181904480138433E-3</v>
      </c>
      <c r="J63" s="156">
        <v>3.3868405263510946E-3</v>
      </c>
      <c r="K63" s="156">
        <v>2.5264797581271946E-3</v>
      </c>
      <c r="L63" s="156">
        <v>2.1707404137918372E-3</v>
      </c>
      <c r="M63" s="156">
        <v>1.8352258771677978E-3</v>
      </c>
      <c r="N63" s="156">
        <v>1.5661865898579416E-3</v>
      </c>
      <c r="O63" s="156">
        <v>9.5735704793439499E-4</v>
      </c>
      <c r="P63" s="156">
        <v>3.3758085770764387E-4</v>
      </c>
      <c r="Q63" s="156">
        <v>6.29897912785399E-5</v>
      </c>
      <c r="R63" s="156">
        <v>5.6774199974241575E-5</v>
      </c>
      <c r="S63" s="156">
        <v>0</v>
      </c>
      <c r="T63" s="154">
        <v>5.2273970130364678E-5</v>
      </c>
      <c r="U63" s="154">
        <v>2.2562665358089268E-4</v>
      </c>
      <c r="V63" s="154">
        <v>6.1475184331734561E-4</v>
      </c>
      <c r="W63" s="154">
        <v>1.0307471931027365E-3</v>
      </c>
      <c r="X63"/>
    </row>
    <row r="64" spans="5:24" x14ac:dyDescent="0.2">
      <c r="E64" s="127" t="s">
        <v>45</v>
      </c>
      <c r="F64" s="156">
        <v>1.3860078571468608E-2</v>
      </c>
      <c r="G64" s="156">
        <v>1.0601094703706845E-2</v>
      </c>
      <c r="H64" s="156">
        <v>8.0780932807662537E-3</v>
      </c>
      <c r="I64" s="156">
        <v>5.979570312728796E-3</v>
      </c>
      <c r="J64" s="156">
        <v>4.277686400146123E-3</v>
      </c>
      <c r="K64" s="156">
        <v>3.3036056239345002E-3</v>
      </c>
      <c r="L64" s="156">
        <v>2.8951260242814233E-3</v>
      </c>
      <c r="M64" s="156">
        <v>2.5056891972909424E-3</v>
      </c>
      <c r="N64" s="156">
        <v>2.1896912359191624E-3</v>
      </c>
      <c r="O64" s="156">
        <v>1.4565089809376963E-3</v>
      </c>
      <c r="P64" s="156">
        <v>6.5539322673941174E-4</v>
      </c>
      <c r="Q64" s="156">
        <v>2.3000660227049532E-4</v>
      </c>
      <c r="R64" s="156">
        <v>2.1798389389114282E-4</v>
      </c>
      <c r="S64" s="156">
        <v>5.2273970130364678E-5</v>
      </c>
      <c r="T64" s="156">
        <v>0</v>
      </c>
      <c r="U64" s="154">
        <v>6.0707415638171463E-5</v>
      </c>
      <c r="V64" s="154">
        <v>3.0858920309776821E-4</v>
      </c>
      <c r="W64" s="154">
        <v>6.1901090854221197E-4</v>
      </c>
      <c r="X64"/>
    </row>
    <row r="65" spans="5:24" x14ac:dyDescent="0.2">
      <c r="E65" s="127" t="s">
        <v>46</v>
      </c>
      <c r="F65" s="156">
        <v>1.5731725941507704E-2</v>
      </c>
      <c r="G65" s="156">
        <v>1.2250141081367986E-2</v>
      </c>
      <c r="H65" s="156">
        <v>9.5284222992107429E-3</v>
      </c>
      <c r="I65" s="156">
        <v>7.238112151907056E-3</v>
      </c>
      <c r="J65" s="156">
        <v>5.3531010570997675E-3</v>
      </c>
      <c r="K65" s="156">
        <v>4.2568425481176999E-3</v>
      </c>
      <c r="L65" s="156">
        <v>3.7916839695970486E-3</v>
      </c>
      <c r="M65" s="156">
        <v>3.3442872126235239E-3</v>
      </c>
      <c r="N65" s="156">
        <v>2.9778056081078944E-3</v>
      </c>
      <c r="O65" s="156">
        <v>2.1108967175566787E-3</v>
      </c>
      <c r="P65" s="156">
        <v>1.1146694500871128E-3</v>
      </c>
      <c r="Q65" s="156">
        <v>5.2694270313030666E-4</v>
      </c>
      <c r="R65" s="156">
        <v>5.0866662276301939E-4</v>
      </c>
      <c r="S65" s="156">
        <v>2.2562665358089268E-4</v>
      </c>
      <c r="T65" s="156">
        <v>6.0707415638171463E-5</v>
      </c>
      <c r="U65" s="156">
        <v>0</v>
      </c>
      <c r="V65" s="154">
        <v>9.5576279492053749E-5</v>
      </c>
      <c r="W65" s="154">
        <v>2.9210775116411198E-4</v>
      </c>
      <c r="X65"/>
    </row>
    <row r="66" spans="5:24" x14ac:dyDescent="0.2">
      <c r="E66" s="127" t="s">
        <v>47</v>
      </c>
      <c r="F66" s="156">
        <v>1.8243112970346798E-2</v>
      </c>
      <c r="G66" s="156">
        <v>1.4484131657771135E-2</v>
      </c>
      <c r="H66" s="156">
        <v>1.1514579461998272E-2</v>
      </c>
      <c r="I66" s="156">
        <v>8.9849014650671306E-3</v>
      </c>
      <c r="J66" s="156">
        <v>6.8711691081546709E-3</v>
      </c>
      <c r="K66" s="156">
        <v>5.6222260606203257E-3</v>
      </c>
      <c r="L66" s="156">
        <v>5.0862124602913767E-3</v>
      </c>
      <c r="M66" s="156">
        <v>4.566343802092759E-3</v>
      </c>
      <c r="N66" s="156">
        <v>4.1367256913426723E-3</v>
      </c>
      <c r="O66" s="156">
        <v>3.1025163359502598E-3</v>
      </c>
      <c r="P66" s="156">
        <v>1.8620426114014312E-3</v>
      </c>
      <c r="Q66" s="156">
        <v>1.070958461691819E-3</v>
      </c>
      <c r="R66" s="156">
        <v>1.0448465619731968E-3</v>
      </c>
      <c r="S66" s="156">
        <v>6.1475184331734561E-4</v>
      </c>
      <c r="T66" s="156">
        <v>3.0858920309776821E-4</v>
      </c>
      <c r="U66" s="156">
        <v>9.5576279492053749E-5</v>
      </c>
      <c r="V66" s="156">
        <v>0</v>
      </c>
      <c r="W66" s="154">
        <v>5.3521718914910849E-5</v>
      </c>
      <c r="X66"/>
    </row>
    <row r="67" spans="5:24" x14ac:dyDescent="0.2">
      <c r="E67" s="127" t="s">
        <v>48</v>
      </c>
      <c r="F67" s="156">
        <v>2.024020542736682E-2</v>
      </c>
      <c r="G67" s="156">
        <v>1.6275123067985533E-2</v>
      </c>
      <c r="H67" s="156">
        <v>1.3121290199751825E-2</v>
      </c>
      <c r="I67" s="156">
        <v>1.0413497774466105E-2</v>
      </c>
      <c r="J67" s="156">
        <v>8.1294559208463946E-3</v>
      </c>
      <c r="K67" s="156">
        <v>6.766758050400906E-3</v>
      </c>
      <c r="L67" s="156">
        <v>6.1779379944278904E-3</v>
      </c>
      <c r="M67" s="156">
        <v>5.6040465884348353E-3</v>
      </c>
      <c r="N67" s="156">
        <v>5.1273553336236115E-3</v>
      </c>
      <c r="O67" s="156">
        <v>3.968368816634163E-3</v>
      </c>
      <c r="P67" s="156">
        <v>2.5456209288394244E-3</v>
      </c>
      <c r="Q67" s="156">
        <v>1.6026787744625247E-3</v>
      </c>
      <c r="R67" s="156">
        <v>1.570713660314114E-3</v>
      </c>
      <c r="S67" s="156">
        <v>1.0307471931027365E-3</v>
      </c>
      <c r="T67" s="156">
        <v>6.1901090854221197E-4</v>
      </c>
      <c r="U67" s="156">
        <v>2.9210775116411198E-4</v>
      </c>
      <c r="V67" s="156">
        <v>5.3521718914910849E-5</v>
      </c>
      <c r="W67" s="156">
        <v>0</v>
      </c>
      <c r="X67"/>
    </row>
    <row r="68" spans="5:24" x14ac:dyDescent="0.2"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/>
    </row>
    <row r="69" spans="5:24" x14ac:dyDescent="0.2"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/>
    </row>
    <row r="70" spans="5:24" x14ac:dyDescent="0.2"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/>
    </row>
    <row r="71" spans="5:24" x14ac:dyDescent="0.2"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/>
    </row>
    <row r="72" spans="5:24" x14ac:dyDescent="0.2"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/>
    </row>
    <row r="73" spans="5:24" x14ac:dyDescent="0.2"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/>
    </row>
    <row r="74" spans="5:24" x14ac:dyDescent="0.2"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/>
    </row>
    <row r="75" spans="5:24" x14ac:dyDescent="0.2"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/>
    </row>
    <row r="76" spans="5:24" x14ac:dyDescent="0.2"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/>
    </row>
    <row r="77" spans="5:24" x14ac:dyDescent="0.2"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/>
    </row>
    <row r="78" spans="5:24" x14ac:dyDescent="0.2"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/>
    </row>
    <row r="79" spans="5:24" x14ac:dyDescent="0.2"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/>
    </row>
    <row r="80" spans="5:24" x14ac:dyDescent="0.2"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/>
    </row>
    <row r="81" spans="6:24" x14ac:dyDescent="0.2"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/>
    </row>
    <row r="82" spans="6:24" x14ac:dyDescent="0.2"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/>
    </row>
    <row r="83" spans="6:24" x14ac:dyDescent="0.2"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/>
    </row>
    <row r="84" spans="6:24" x14ac:dyDescent="0.2"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/>
    </row>
    <row r="85" spans="6:24" x14ac:dyDescent="0.2"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/>
    </row>
    <row r="86" spans="6:24" x14ac:dyDescent="0.2"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/>
    </row>
    <row r="87" spans="6:24" x14ac:dyDescent="0.2"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/>
    </row>
    <row r="88" spans="6:24" x14ac:dyDescent="0.2">
      <c r="G88" s="121"/>
      <c r="H88" s="121"/>
      <c r="I88" s="121"/>
      <c r="J88" s="121"/>
    </row>
    <row r="89" spans="6:24" x14ac:dyDescent="0.2">
      <c r="G89" s="121"/>
      <c r="H89" s="121"/>
      <c r="I89" s="121"/>
      <c r="J89" s="121"/>
    </row>
    <row r="90" spans="6:24" x14ac:dyDescent="0.2">
      <c r="G90" s="121"/>
      <c r="H90" s="121"/>
      <c r="I90" s="121"/>
      <c r="J90" s="121"/>
    </row>
    <row r="91" spans="6:24" x14ac:dyDescent="0.2">
      <c r="G91" s="121"/>
      <c r="H91" s="121"/>
      <c r="I91" s="121"/>
      <c r="J91" s="121"/>
    </row>
    <row r="92" spans="6:24" x14ac:dyDescent="0.2">
      <c r="G92" s="121"/>
      <c r="H92" s="121"/>
      <c r="I92" s="121"/>
      <c r="J92" s="121"/>
    </row>
  </sheetData>
  <sheetProtection insertRows="0" selectLockedCells="1"/>
  <dataConsolidate/>
  <mergeCells count="7">
    <mergeCell ref="D9:H9"/>
    <mergeCell ref="D7:H7"/>
    <mergeCell ref="F1:M4"/>
    <mergeCell ref="P1:S1"/>
    <mergeCell ref="P2:S2"/>
    <mergeCell ref="P3:S3"/>
    <mergeCell ref="P4:S4"/>
  </mergeCells>
  <printOptions horizontalCentered="1"/>
  <pageMargins left="0.39370078740157483" right="0.31496062992125984" top="0.35433070866141736" bottom="0.23622047244094491" header="0.35433070866141736" footer="0.23622047244094491"/>
  <pageSetup scale="42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Cover</vt:lpstr>
      <vt:lpstr>Tables</vt:lpstr>
      <vt:lpstr>Samplekij_calculation</vt:lpstr>
      <vt:lpstr>Kij Solvent(s)</vt:lpstr>
      <vt:lpstr>ComponentList</vt:lpstr>
      <vt:lpstr>ComponentTable</vt:lpstr>
      <vt:lpstr>k1_table</vt:lpstr>
      <vt:lpstr>k2_table</vt:lpstr>
      <vt:lpstr>LumpList</vt:lpstr>
      <vt:lpstr>Cover!Print_Area</vt:lpstr>
      <vt:lpstr>'Kij Solvent(s)'!Print_Area</vt:lpstr>
      <vt:lpstr>Samplekij_calculation!Print_Area</vt:lpstr>
    </vt:vector>
  </TitlesOfParts>
  <Company>ProjEx Technologies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dunsmorek</dc:creator>
  <cp:lastModifiedBy>Ahmad Al-Asad</cp:lastModifiedBy>
  <cp:lastPrinted>2016-08-18T20:00:01Z</cp:lastPrinted>
  <dcterms:created xsi:type="dcterms:W3CDTF">2006-06-28T20:49:07Z</dcterms:created>
  <dcterms:modified xsi:type="dcterms:W3CDTF">2016-09-20T16:53:36Z</dcterms:modified>
</cp:coreProperties>
</file>