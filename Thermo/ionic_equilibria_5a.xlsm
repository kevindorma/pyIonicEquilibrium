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Jupyter/pyIonicEquilibrium/Thermo/"/>
    </mc:Choice>
  </mc:AlternateContent>
  <xr:revisionPtr revIDLastSave="0" documentId="13_ncr:1_{39A1C710-5569-6D4A-AA20-18166D4DECDE}" xr6:coauthVersionLast="47" xr6:coauthVersionMax="47" xr10:uidLastSave="{00000000-0000-0000-0000-000000000000}"/>
  <bookViews>
    <workbookView xWindow="0" yWindow="460" windowWidth="28800" windowHeight="16460" xr2:uid="{00000000-000D-0000-FFFF-FFFF00000000}"/>
  </bookViews>
  <sheets>
    <sheet name="IO_sheet" sheetId="20" r:id="rId1"/>
    <sheet name="ionic_calcs" sheetId="17" r:id="rId2"/>
    <sheet name="validation_ph_water" sheetId="4" r:id="rId3"/>
    <sheet name="ionic_calcs_user_guide_example" sheetId="19" r:id="rId4"/>
  </sheets>
  <definedNames>
    <definedName name="_xlnm.Print_Area" localSheetId="1">ionic_calcs!$A$1:$Y$61</definedName>
    <definedName name="_xlnm.Print_Area" localSheetId="3">ionic_calcs_user_guide_example!$A$1:$Y$61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1" i="17" l="1"/>
  <c r="X4" i="17" s="1"/>
  <c r="Z4" i="17" s="1"/>
  <c r="AC4" i="17" s="1"/>
  <c r="R38" i="17"/>
  <c r="X38" i="17" s="1"/>
  <c r="T40" i="17"/>
  <c r="X40" i="17" s="1"/>
  <c r="A22" i="20" a="1"/>
  <c r="A23" i="20" s="1"/>
  <c r="A20" i="20" s="1"/>
  <c r="AG5" i="17"/>
  <c r="AG4" i="17"/>
  <c r="U2" i="17"/>
  <c r="P12" i="17"/>
  <c r="A22" i="20"/>
  <c r="A70" i="17"/>
  <c r="A71" i="17"/>
  <c r="A72" i="17" s="1"/>
  <c r="A75" i="17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E91" i="17"/>
  <c r="AD91" i="17"/>
  <c r="AC91" i="17"/>
  <c r="AB91" i="17"/>
  <c r="AA91" i="17"/>
  <c r="Z91" i="17"/>
  <c r="Y91" i="17"/>
  <c r="X91" i="17"/>
  <c r="AE90" i="17"/>
  <c r="AD90" i="17"/>
  <c r="AC90" i="17"/>
  <c r="AB90" i="17"/>
  <c r="AA90" i="17"/>
  <c r="Z90" i="17"/>
  <c r="Y90" i="17"/>
  <c r="X90" i="17"/>
  <c r="AE89" i="17"/>
  <c r="AD89" i="17"/>
  <c r="AC89" i="17"/>
  <c r="AB89" i="17"/>
  <c r="AA89" i="17"/>
  <c r="Z89" i="17"/>
  <c r="Y89" i="17"/>
  <c r="X89" i="17"/>
  <c r="AE88" i="17"/>
  <c r="AD88" i="17"/>
  <c r="AC88" i="17"/>
  <c r="AB88" i="17"/>
  <c r="AA88" i="17"/>
  <c r="Z88" i="17"/>
  <c r="Y88" i="17"/>
  <c r="X88" i="17"/>
  <c r="AE87" i="17"/>
  <c r="AD87" i="17"/>
  <c r="AC87" i="17"/>
  <c r="AB87" i="17"/>
  <c r="AA87" i="17"/>
  <c r="Z87" i="17"/>
  <c r="Y87" i="17"/>
  <c r="X87" i="17"/>
  <c r="AE86" i="17"/>
  <c r="AD86" i="17"/>
  <c r="AC86" i="17"/>
  <c r="AB86" i="17"/>
  <c r="AA86" i="17"/>
  <c r="Z86" i="17"/>
  <c r="Y86" i="17"/>
  <c r="X86" i="17"/>
  <c r="AE85" i="17"/>
  <c r="AD85" i="17"/>
  <c r="AC85" i="17"/>
  <c r="AB85" i="17"/>
  <c r="AA85" i="17"/>
  <c r="Z85" i="17"/>
  <c r="Y85" i="17"/>
  <c r="X85" i="17"/>
  <c r="AE84" i="17"/>
  <c r="AD84" i="17"/>
  <c r="AC84" i="17"/>
  <c r="AB84" i="17"/>
  <c r="AA84" i="17"/>
  <c r="Z84" i="17"/>
  <c r="Y84" i="17"/>
  <c r="X84" i="17"/>
  <c r="AE83" i="17"/>
  <c r="AD83" i="17"/>
  <c r="AC83" i="17"/>
  <c r="AB83" i="17"/>
  <c r="AA83" i="17"/>
  <c r="Z83" i="17"/>
  <c r="Y83" i="17"/>
  <c r="X83" i="17"/>
  <c r="AE82" i="17"/>
  <c r="AD82" i="17"/>
  <c r="AC82" i="17"/>
  <c r="AB82" i="17"/>
  <c r="AA82" i="17"/>
  <c r="Z82" i="17"/>
  <c r="Y82" i="17"/>
  <c r="X82" i="17"/>
  <c r="AE81" i="17"/>
  <c r="AD81" i="17"/>
  <c r="AC81" i="17"/>
  <c r="AB81" i="17"/>
  <c r="AA81" i="17"/>
  <c r="Z81" i="17"/>
  <c r="Y81" i="17"/>
  <c r="X81" i="17"/>
  <c r="AE80" i="17"/>
  <c r="AD80" i="17"/>
  <c r="AC80" i="17"/>
  <c r="AB80" i="17"/>
  <c r="AA80" i="17"/>
  <c r="Z80" i="17"/>
  <c r="Y80" i="17"/>
  <c r="X80" i="17"/>
  <c r="AE79" i="17"/>
  <c r="AD79" i="17"/>
  <c r="AC79" i="17"/>
  <c r="AB79" i="17"/>
  <c r="AA79" i="17"/>
  <c r="Z79" i="17"/>
  <c r="Y79" i="17"/>
  <c r="X79" i="17"/>
  <c r="AE78" i="17"/>
  <c r="AD78" i="17"/>
  <c r="AC78" i="17"/>
  <c r="AB78" i="17"/>
  <c r="AA78" i="17"/>
  <c r="Z78" i="17"/>
  <c r="Y78" i="17"/>
  <c r="X78" i="17"/>
  <c r="AE77" i="17"/>
  <c r="AD77" i="17"/>
  <c r="AC77" i="17"/>
  <c r="AB77" i="17"/>
  <c r="AA77" i="17"/>
  <c r="Z77" i="17"/>
  <c r="Y77" i="17"/>
  <c r="X77" i="17"/>
  <c r="AE76" i="17"/>
  <c r="AD76" i="17"/>
  <c r="AC76" i="17"/>
  <c r="AB76" i="17"/>
  <c r="AA76" i="17"/>
  <c r="Z76" i="17"/>
  <c r="Y76" i="17"/>
  <c r="X76" i="17"/>
  <c r="AE75" i="17"/>
  <c r="AD75" i="17"/>
  <c r="AC75" i="17"/>
  <c r="AB75" i="17"/>
  <c r="AA75" i="17"/>
  <c r="Z75" i="17"/>
  <c r="Y75" i="17"/>
  <c r="X75" i="17"/>
  <c r="AE74" i="17"/>
  <c r="AD74" i="17"/>
  <c r="AC74" i="17"/>
  <c r="AB74" i="17"/>
  <c r="AA74" i="17"/>
  <c r="Z74" i="17"/>
  <c r="Y74" i="17"/>
  <c r="X74" i="17"/>
  <c r="AE73" i="17"/>
  <c r="AD73" i="17"/>
  <c r="AC73" i="17"/>
  <c r="AB73" i="17"/>
  <c r="AA73" i="17"/>
  <c r="Z73" i="17"/>
  <c r="Y73" i="17"/>
  <c r="AE72" i="17"/>
  <c r="AD72" i="17"/>
  <c r="AC72" i="17"/>
  <c r="AB72" i="17"/>
  <c r="AA72" i="17"/>
  <c r="Z72" i="17"/>
  <c r="Y72" i="17"/>
  <c r="X72" i="17"/>
  <c r="AE71" i="17"/>
  <c r="AD71" i="17"/>
  <c r="AC71" i="17"/>
  <c r="AB71" i="17"/>
  <c r="AA71" i="17"/>
  <c r="Z71" i="17"/>
  <c r="Y71" i="17"/>
  <c r="X71" i="17"/>
  <c r="AE70" i="17"/>
  <c r="AD70" i="17"/>
  <c r="AC70" i="17"/>
  <c r="AB70" i="17"/>
  <c r="AA70" i="17"/>
  <c r="Z70" i="17"/>
  <c r="Y70" i="17"/>
  <c r="X70" i="17"/>
  <c r="P11" i="17"/>
  <c r="P10" i="17"/>
  <c r="P9" i="17"/>
  <c r="P8" i="17"/>
  <c r="F15" i="17"/>
  <c r="G15" i="17" s="1"/>
  <c r="H15" i="17" s="1"/>
  <c r="I15" i="17" s="1"/>
  <c r="J15" i="17" s="1"/>
  <c r="K15" i="17" s="1"/>
  <c r="L15" i="17" s="1"/>
  <c r="L13" i="17" s="1"/>
  <c r="AD9" i="17"/>
  <c r="AD10" i="17" s="1"/>
  <c r="AG11" i="17"/>
  <c r="AG12" i="17" s="1"/>
  <c r="AD11" i="17"/>
  <c r="AH5" i="17"/>
  <c r="AH4" i="17"/>
  <c r="AB5" i="17"/>
  <c r="AB4" i="17"/>
  <c r="W5" i="17"/>
  <c r="Y5" i="17"/>
  <c r="W4" i="17"/>
  <c r="Y4" i="17" s="1"/>
  <c r="R12" i="17"/>
  <c r="R11" i="17"/>
  <c r="R10" i="17"/>
  <c r="R9" i="17"/>
  <c r="R8" i="17"/>
  <c r="E13" i="17"/>
  <c r="B19" i="17" s="1"/>
  <c r="F19" i="17"/>
  <c r="H19" i="17"/>
  <c r="O19" i="17"/>
  <c r="P19" i="17"/>
  <c r="Q19" i="17"/>
  <c r="R19" i="17"/>
  <c r="S19" i="17"/>
  <c r="T19" i="17"/>
  <c r="U19" i="17"/>
  <c r="V19" i="17"/>
  <c r="J22" i="17" a="1"/>
  <c r="N22" i="17" s="1"/>
  <c r="L22" i="17"/>
  <c r="K23" i="17"/>
  <c r="K24" i="17"/>
  <c r="K25" i="17"/>
  <c r="K26" i="17"/>
  <c r="K27" i="17"/>
  <c r="J28" i="17"/>
  <c r="L28" i="17"/>
  <c r="N28" i="17"/>
  <c r="K29" i="17"/>
  <c r="M29" i="17"/>
  <c r="O30" i="17" a="1"/>
  <c r="U30" i="17" s="1"/>
  <c r="S30" i="17"/>
  <c r="O31" i="17"/>
  <c r="S31" i="17"/>
  <c r="P32" i="17"/>
  <c r="T32" i="17"/>
  <c r="O33" i="17"/>
  <c r="S33" i="17"/>
  <c r="P34" i="17"/>
  <c r="T34" i="17"/>
  <c r="O35" i="17"/>
  <c r="X35" i="17" s="1"/>
  <c r="P36" i="17"/>
  <c r="X36" i="17" s="1"/>
  <c r="Q37" i="17"/>
  <c r="X37" i="17" s="1"/>
  <c r="S39" i="17"/>
  <c r="X39" i="17" s="1"/>
  <c r="U41" i="17"/>
  <c r="X41" i="17" s="1"/>
  <c r="V42" i="17"/>
  <c r="X42" i="17" s="1"/>
  <c r="B47" i="17"/>
  <c r="C47" i="17"/>
  <c r="D47" i="17"/>
  <c r="E47" i="17"/>
  <c r="F47" i="17"/>
  <c r="G47" i="17"/>
  <c r="H47" i="17"/>
  <c r="J47" i="17" s="1"/>
  <c r="I47" i="17"/>
  <c r="D8" i="19"/>
  <c r="D9" i="19"/>
  <c r="X30" i="19" s="1" a="1"/>
  <c r="D10" i="19"/>
  <c r="D11" i="19"/>
  <c r="D12" i="19"/>
  <c r="E13" i="19"/>
  <c r="B19" i="19" s="1"/>
  <c r="F13" i="19"/>
  <c r="K16" i="19"/>
  <c r="K13" i="19" s="1"/>
  <c r="G15" i="19"/>
  <c r="G13" i="19" s="1"/>
  <c r="L15" i="19"/>
  <c r="L13" i="19" s="1"/>
  <c r="D19" i="19"/>
  <c r="F19" i="19"/>
  <c r="H19" i="19"/>
  <c r="I19" i="19"/>
  <c r="O19" i="19"/>
  <c r="P19" i="19"/>
  <c r="Q19" i="19"/>
  <c r="R19" i="19"/>
  <c r="S19" i="19"/>
  <c r="T19" i="19"/>
  <c r="U19" i="19"/>
  <c r="V19" i="19"/>
  <c r="J22" i="19" a="1"/>
  <c r="L22" i="19" s="1"/>
  <c r="J22" i="19"/>
  <c r="N22" i="19"/>
  <c r="K23" i="19"/>
  <c r="M23" i="19"/>
  <c r="M24" i="19"/>
  <c r="K25" i="19"/>
  <c r="M25" i="19"/>
  <c r="M26" i="19"/>
  <c r="K27" i="19"/>
  <c r="M27" i="19"/>
  <c r="M28" i="19"/>
  <c r="K29" i="19"/>
  <c r="M29" i="19"/>
  <c r="O30" i="19" a="1"/>
  <c r="O30" i="19"/>
  <c r="Q30" i="19"/>
  <c r="S30" i="19"/>
  <c r="U30" i="19"/>
  <c r="O31" i="19"/>
  <c r="Q31" i="19"/>
  <c r="S31" i="19"/>
  <c r="U31" i="19"/>
  <c r="P32" i="19"/>
  <c r="R32" i="19"/>
  <c r="T32" i="19"/>
  <c r="V32" i="19"/>
  <c r="O33" i="19"/>
  <c r="Q33" i="19"/>
  <c r="S33" i="19"/>
  <c r="U33" i="19"/>
  <c r="P34" i="19"/>
  <c r="R34" i="19"/>
  <c r="T34" i="19"/>
  <c r="V34" i="19"/>
  <c r="O35" i="19"/>
  <c r="X35" i="19" s="1"/>
  <c r="P36" i="19"/>
  <c r="X36" i="19" s="1"/>
  <c r="Q37" i="19"/>
  <c r="X37" i="19" s="1"/>
  <c r="R38" i="19"/>
  <c r="X38" i="19" s="1"/>
  <c r="S39" i="19"/>
  <c r="X39" i="19" s="1"/>
  <c r="T40" i="19"/>
  <c r="X40" i="19" s="1"/>
  <c r="U41" i="19"/>
  <c r="X41" i="19" s="1"/>
  <c r="V42" i="19"/>
  <c r="X42" i="19" s="1"/>
  <c r="B47" i="19"/>
  <c r="C47" i="19"/>
  <c r="D47" i="19"/>
  <c r="E47" i="19"/>
  <c r="F47" i="19"/>
  <c r="G47" i="19"/>
  <c r="H47" i="19"/>
  <c r="I47" i="19"/>
  <c r="J47" i="19"/>
  <c r="D8" i="4"/>
  <c r="D9" i="4"/>
  <c r="D10" i="4"/>
  <c r="D11" i="4"/>
  <c r="F14" i="4"/>
  <c r="F12" i="4"/>
  <c r="H14" i="4"/>
  <c r="H12" i="4"/>
  <c r="J14" i="4"/>
  <c r="J12" i="4"/>
  <c r="M13" i="4"/>
  <c r="N13" i="4"/>
  <c r="O13" i="4"/>
  <c r="Q13" i="4"/>
  <c r="R13" i="4"/>
  <c r="S13" i="4"/>
  <c r="E14" i="4"/>
  <c r="E13" i="4"/>
  <c r="P13" i="4" s="1"/>
  <c r="G14" i="4"/>
  <c r="G12" i="4" s="1"/>
  <c r="I14" i="4"/>
  <c r="I12" i="4" s="1"/>
  <c r="K14" i="4"/>
  <c r="K12" i="4" s="1"/>
  <c r="M18" i="4"/>
  <c r="N18" i="4"/>
  <c r="O18" i="4"/>
  <c r="P18" i="4"/>
  <c r="Q18" i="4"/>
  <c r="R18" i="4"/>
  <c r="S18" i="4"/>
  <c r="I21" i="4" a="1"/>
  <c r="K21" i="4" s="1"/>
  <c r="I21" i="4"/>
  <c r="I22" i="4"/>
  <c r="J22" i="4"/>
  <c r="K22" i="4"/>
  <c r="I23" i="4"/>
  <c r="J23" i="4"/>
  <c r="K23" i="4"/>
  <c r="I24" i="4"/>
  <c r="J24" i="4"/>
  <c r="K24" i="4"/>
  <c r="I25" i="4"/>
  <c r="J25" i="4"/>
  <c r="K25" i="4"/>
  <c r="I26" i="4"/>
  <c r="J26" i="4"/>
  <c r="K26" i="4"/>
  <c r="I27" i="4"/>
  <c r="J27" i="4"/>
  <c r="K27" i="4"/>
  <c r="M28" i="4" a="1"/>
  <c r="S29" i="4" s="1"/>
  <c r="U28" i="4" a="1"/>
  <c r="S30" i="4"/>
  <c r="S31" i="4"/>
  <c r="M32" i="4"/>
  <c r="U32" i="4" s="1"/>
  <c r="N33" i="4"/>
  <c r="U33" i="4" s="1"/>
  <c r="O34" i="4"/>
  <c r="U34" i="4" s="1"/>
  <c r="P35" i="4"/>
  <c r="U35" i="4" s="1"/>
  <c r="Q36" i="4"/>
  <c r="U36" i="4" s="1"/>
  <c r="R37" i="4"/>
  <c r="U37" i="4" s="1"/>
  <c r="S38" i="4"/>
  <c r="U38" i="4" s="1"/>
  <c r="E12" i="4"/>
  <c r="U21" i="4" s="1" a="1"/>
  <c r="U34" i="19"/>
  <c r="S34" i="19"/>
  <c r="Q34" i="19"/>
  <c r="O34" i="19"/>
  <c r="V33" i="19"/>
  <c r="T33" i="19"/>
  <c r="R33" i="19"/>
  <c r="P33" i="19"/>
  <c r="U32" i="19"/>
  <c r="S32" i="19"/>
  <c r="Q32" i="19"/>
  <c r="O32" i="19"/>
  <c r="V31" i="19"/>
  <c r="T31" i="19"/>
  <c r="R31" i="19"/>
  <c r="P31" i="19"/>
  <c r="V30" i="19"/>
  <c r="T30" i="19"/>
  <c r="R30" i="19"/>
  <c r="P30" i="19"/>
  <c r="L21" i="4"/>
  <c r="O30" i="17"/>
  <c r="P30" i="17"/>
  <c r="R30" i="17"/>
  <c r="T30" i="17"/>
  <c r="V30" i="17"/>
  <c r="P31" i="17"/>
  <c r="R31" i="17"/>
  <c r="T31" i="17"/>
  <c r="V31" i="17"/>
  <c r="O32" i="17"/>
  <c r="Q32" i="17"/>
  <c r="S32" i="17"/>
  <c r="U32" i="17"/>
  <c r="P33" i="17"/>
  <c r="R33" i="17"/>
  <c r="T33" i="17"/>
  <c r="V33" i="17"/>
  <c r="O34" i="17"/>
  <c r="Q34" i="17"/>
  <c r="S34" i="17"/>
  <c r="U34" i="17"/>
  <c r="N29" i="19"/>
  <c r="L29" i="19"/>
  <c r="J29" i="19"/>
  <c r="N28" i="19"/>
  <c r="L28" i="19"/>
  <c r="J28" i="19"/>
  <c r="N27" i="19"/>
  <c r="L27" i="19"/>
  <c r="J27" i="19"/>
  <c r="N26" i="19"/>
  <c r="L26" i="19"/>
  <c r="J26" i="19"/>
  <c r="N25" i="19"/>
  <c r="L25" i="19"/>
  <c r="J25" i="19"/>
  <c r="N24" i="19"/>
  <c r="L24" i="19"/>
  <c r="J24" i="19"/>
  <c r="N23" i="19"/>
  <c r="L23" i="19"/>
  <c r="J23" i="19"/>
  <c r="M22" i="19"/>
  <c r="K22" i="19"/>
  <c r="H15" i="19"/>
  <c r="N27" i="17"/>
  <c r="L27" i="17"/>
  <c r="J27" i="17"/>
  <c r="N26" i="17"/>
  <c r="L26" i="17"/>
  <c r="J26" i="17"/>
  <c r="N25" i="17"/>
  <c r="L25" i="17"/>
  <c r="J25" i="17"/>
  <c r="N24" i="17"/>
  <c r="L24" i="17"/>
  <c r="J24" i="17"/>
  <c r="N23" i="17"/>
  <c r="L23" i="17"/>
  <c r="J23" i="17"/>
  <c r="M22" i="17"/>
  <c r="K22" i="17"/>
  <c r="G13" i="17"/>
  <c r="I15" i="19"/>
  <c r="J15" i="19" s="1"/>
  <c r="J13" i="19" s="1"/>
  <c r="X22" i="19" s="1" a="1"/>
  <c r="X24" i="19" s="1"/>
  <c r="H13" i="19"/>
  <c r="U22" i="4"/>
  <c r="U23" i="4"/>
  <c r="U24" i="4"/>
  <c r="U25" i="4"/>
  <c r="U26" i="4"/>
  <c r="U27" i="4"/>
  <c r="U21" i="4"/>
  <c r="I13" i="19"/>
  <c r="I13" i="17"/>
  <c r="J13" i="17"/>
  <c r="U9" i="17"/>
  <c r="V9" i="17"/>
  <c r="W9" i="17" s="1"/>
  <c r="D9" i="17" s="1"/>
  <c r="C9" i="17" s="1"/>
  <c r="N9" i="17" s="1"/>
  <c r="U11" i="17"/>
  <c r="V11" i="17" s="1"/>
  <c r="W11" i="17" s="1"/>
  <c r="D11" i="17" s="1"/>
  <c r="C11" i="17" s="1"/>
  <c r="N11" i="17" s="1"/>
  <c r="U10" i="17"/>
  <c r="V10" i="17" s="1"/>
  <c r="W10" i="17" s="1"/>
  <c r="D10" i="17" s="1"/>
  <c r="C10" i="17" s="1"/>
  <c r="N10" i="17" s="1"/>
  <c r="A29" i="20"/>
  <c r="A27" i="20"/>
  <c r="A30" i="20"/>
  <c r="A28" i="20"/>
  <c r="A26" i="20"/>
  <c r="A24" i="20"/>
  <c r="K13" i="17"/>
  <c r="C22" i="20" l="1" a="1"/>
  <c r="C28" i="20" s="1"/>
  <c r="U12" i="17"/>
  <c r="V12" i="17" s="1"/>
  <c r="W12" i="17" s="1"/>
  <c r="D12" i="17" s="1"/>
  <c r="C12" i="17" s="1"/>
  <c r="N12" i="17" s="1"/>
  <c r="X22" i="19"/>
  <c r="X26" i="19"/>
  <c r="X23" i="19"/>
  <c r="X27" i="19"/>
  <c r="X25" i="19"/>
  <c r="X29" i="19"/>
  <c r="X28" i="19"/>
  <c r="U28" i="4"/>
  <c r="U29" i="4"/>
  <c r="U30" i="4"/>
  <c r="U31" i="4"/>
  <c r="O28" i="4"/>
  <c r="S28" i="4"/>
  <c r="N29" i="4"/>
  <c r="R29" i="4"/>
  <c r="N30" i="4"/>
  <c r="R30" i="4"/>
  <c r="N31" i="4"/>
  <c r="R31" i="4"/>
  <c r="M28" i="4"/>
  <c r="Q28" i="4"/>
  <c r="P29" i="4"/>
  <c r="P30" i="4"/>
  <c r="P31" i="4"/>
  <c r="N28" i="4"/>
  <c r="M29" i="4"/>
  <c r="M30" i="4"/>
  <c r="M31" i="4"/>
  <c r="P28" i="4"/>
  <c r="O29" i="4"/>
  <c r="O30" i="4"/>
  <c r="O31" i="4"/>
  <c r="R28" i="4"/>
  <c r="Q29" i="4"/>
  <c r="Q30" i="4"/>
  <c r="Q31" i="4"/>
  <c r="X30" i="19"/>
  <c r="X34" i="19"/>
  <c r="X31" i="19"/>
  <c r="X32" i="19"/>
  <c r="X33" i="19"/>
  <c r="AD4" i="17"/>
  <c r="AE4" i="17" s="1"/>
  <c r="AI4" i="17" s="1"/>
  <c r="K28" i="19"/>
  <c r="K26" i="19"/>
  <c r="K24" i="19"/>
  <c r="AB22" i="19" s="1" a="1"/>
  <c r="R34" i="17"/>
  <c r="Q33" i="17"/>
  <c r="R32" i="17"/>
  <c r="Q31" i="17"/>
  <c r="Q30" i="17"/>
  <c r="L29" i="17"/>
  <c r="M28" i="17"/>
  <c r="M27" i="17"/>
  <c r="M25" i="17"/>
  <c r="M23" i="17"/>
  <c r="J22" i="17"/>
  <c r="U8" i="17"/>
  <c r="V8" i="17" s="1"/>
  <c r="W8" i="17" s="1"/>
  <c r="D8" i="17" s="1"/>
  <c r="A25" i="20"/>
  <c r="A19" i="20" s="1"/>
  <c r="J21" i="4"/>
  <c r="L27" i="4"/>
  <c r="L26" i="4"/>
  <c r="L25" i="4"/>
  <c r="L24" i="4"/>
  <c r="L23" i="4"/>
  <c r="L22" i="4"/>
  <c r="V34" i="17"/>
  <c r="U33" i="17"/>
  <c r="V32" i="17"/>
  <c r="U31" i="17"/>
  <c r="N29" i="17"/>
  <c r="J29" i="17"/>
  <c r="K28" i="17"/>
  <c r="M26" i="17"/>
  <c r="M24" i="17"/>
  <c r="X5" i="17"/>
  <c r="Z5" i="17" s="1"/>
  <c r="AC5" i="17" s="1"/>
  <c r="AD5" i="17" s="1"/>
  <c r="AE5" i="17" s="1"/>
  <c r="AI5" i="17" s="1"/>
  <c r="C22" i="20" l="1"/>
  <c r="C25" i="20"/>
  <c r="C29" i="20"/>
  <c r="C26" i="20"/>
  <c r="C23" i="20"/>
  <c r="C24" i="20"/>
  <c r="C30" i="20"/>
  <c r="C27" i="20"/>
  <c r="AG22" i="19"/>
  <c r="AO22" i="19"/>
  <c r="AB23" i="19"/>
  <c r="AB22" i="19"/>
  <c r="AK22" i="19"/>
  <c r="AU22" i="19"/>
  <c r="AJ23" i="19"/>
  <c r="AR23" i="19"/>
  <c r="AD24" i="19"/>
  <c r="AL24" i="19"/>
  <c r="AT24" i="19"/>
  <c r="AF25" i="19"/>
  <c r="AN25" i="19"/>
  <c r="AV25" i="19"/>
  <c r="AH26" i="19"/>
  <c r="AP26" i="19"/>
  <c r="AB27" i="19"/>
  <c r="AJ27" i="19"/>
  <c r="AR27" i="19"/>
  <c r="AD28" i="19"/>
  <c r="AL28" i="19"/>
  <c r="AT28" i="19"/>
  <c r="AF29" i="19"/>
  <c r="AN29" i="19"/>
  <c r="AP22" i="19"/>
  <c r="AK23" i="19"/>
  <c r="AG24" i="19"/>
  <c r="AC25" i="19"/>
  <c r="AS25" i="19"/>
  <c r="AO26" i="19"/>
  <c r="AK27" i="19"/>
  <c r="AG28" i="19"/>
  <c r="AM22" i="19"/>
  <c r="AF23" i="19"/>
  <c r="AP23" i="19"/>
  <c r="AF24" i="19"/>
  <c r="AP24" i="19"/>
  <c r="AD25" i="19"/>
  <c r="AP25" i="19"/>
  <c r="AD26" i="19"/>
  <c r="AN26" i="19"/>
  <c r="AD27" i="19"/>
  <c r="AN27" i="19"/>
  <c r="AB28" i="19"/>
  <c r="AN28" i="19"/>
  <c r="AB29" i="19"/>
  <c r="AL29" i="19"/>
  <c r="AT22" i="19"/>
  <c r="AS23" i="19"/>
  <c r="AS24" i="19"/>
  <c r="AC26" i="19"/>
  <c r="AC27" i="19"/>
  <c r="AC28" i="19"/>
  <c r="AC29" i="19"/>
  <c r="AQ29" i="19"/>
  <c r="AD30" i="19"/>
  <c r="AL30" i="19"/>
  <c r="AT30" i="19"/>
  <c r="AG31" i="19"/>
  <c r="AO31" i="19"/>
  <c r="AB32" i="19"/>
  <c r="AJ32" i="19"/>
  <c r="AR32" i="19"/>
  <c r="AE33" i="19"/>
  <c r="AM33" i="19"/>
  <c r="AU33" i="19"/>
  <c r="AH34" i="19"/>
  <c r="AP34" i="19"/>
  <c r="AB35" i="19"/>
  <c r="AJ35" i="19"/>
  <c r="AR35" i="19"/>
  <c r="AD36" i="19"/>
  <c r="AL36" i="19"/>
  <c r="AT36" i="19"/>
  <c r="AF37" i="19"/>
  <c r="AN37" i="19"/>
  <c r="AV37" i="19"/>
  <c r="AH38" i="19"/>
  <c r="AP38" i="19"/>
  <c r="AE22" i="19"/>
  <c r="AS22" i="19"/>
  <c r="AL23" i="19"/>
  <c r="AV23" i="19"/>
  <c r="AJ24" i="19"/>
  <c r="AV24" i="19"/>
  <c r="AJ25" i="19"/>
  <c r="AT25" i="19"/>
  <c r="AJ26" i="19"/>
  <c r="AT26" i="19"/>
  <c r="AH27" i="19"/>
  <c r="AT27" i="19"/>
  <c r="AH28" i="19"/>
  <c r="AR28" i="19"/>
  <c r="AH29" i="19"/>
  <c r="AH22" i="19"/>
  <c r="AG23" i="19"/>
  <c r="AK24" i="19"/>
  <c r="AK25" i="19"/>
  <c r="AK26" i="19"/>
  <c r="AO27" i="19"/>
  <c r="AO28" i="19"/>
  <c r="AK29" i="19"/>
  <c r="AU29" i="19"/>
  <c r="AH30" i="19"/>
  <c r="AP30" i="19"/>
  <c r="AC31" i="19"/>
  <c r="AK31" i="19"/>
  <c r="AS31" i="19"/>
  <c r="AF32" i="19"/>
  <c r="AN32" i="19"/>
  <c r="AV32" i="19"/>
  <c r="AI33" i="19"/>
  <c r="AQ33" i="19"/>
  <c r="AD34" i="19"/>
  <c r="AL34" i="19"/>
  <c r="AT34" i="19"/>
  <c r="AF35" i="19"/>
  <c r="AN35" i="19"/>
  <c r="AV35" i="19"/>
  <c r="AH36" i="19"/>
  <c r="AP36" i="19"/>
  <c r="AB37" i="19"/>
  <c r="AJ37" i="19"/>
  <c r="AR37" i="19"/>
  <c r="AI22" i="19"/>
  <c r="AD23" i="19"/>
  <c r="AN23" i="19"/>
  <c r="AB24" i="19"/>
  <c r="AN24" i="19"/>
  <c r="AB25" i="19"/>
  <c r="AL25" i="19"/>
  <c r="AB26" i="19"/>
  <c r="AL26" i="19"/>
  <c r="AV26" i="19"/>
  <c r="AL27" i="19"/>
  <c r="AV27" i="19"/>
  <c r="AJ28" i="19"/>
  <c r="AV28" i="19"/>
  <c r="AJ29" i="19"/>
  <c r="AL22" i="19"/>
  <c r="AO23" i="19"/>
  <c r="AO24" i="19"/>
  <c r="AO25" i="19"/>
  <c r="AS26" i="19"/>
  <c r="AS27" i="19"/>
  <c r="AS28" i="19"/>
  <c r="AO29" i="19"/>
  <c r="AB30" i="19"/>
  <c r="AJ30" i="19"/>
  <c r="AR30" i="19"/>
  <c r="AE31" i="19"/>
  <c r="AM31" i="19"/>
  <c r="AU31" i="19"/>
  <c r="AH32" i="19"/>
  <c r="AP32" i="19"/>
  <c r="AC33" i="19"/>
  <c r="AK33" i="19"/>
  <c r="AS33" i="19"/>
  <c r="AF34" i="19"/>
  <c r="AN34" i="19"/>
  <c r="AV34" i="19"/>
  <c r="AH35" i="19"/>
  <c r="AP35" i="19"/>
  <c r="AB36" i="19"/>
  <c r="AJ36" i="19"/>
  <c r="AR36" i="19"/>
  <c r="AD37" i="19"/>
  <c r="AL37" i="19"/>
  <c r="AT37" i="19"/>
  <c r="AF38" i="19"/>
  <c r="AN38" i="19"/>
  <c r="AV38" i="19"/>
  <c r="AH39" i="19"/>
  <c r="AP39" i="19"/>
  <c r="AB40" i="19"/>
  <c r="AJ40" i="19"/>
  <c r="AR40" i="19"/>
  <c r="AD41" i="19"/>
  <c r="AL41" i="19"/>
  <c r="AT41" i="19"/>
  <c r="AF42" i="19"/>
  <c r="AN42" i="19"/>
  <c r="AV42" i="19"/>
  <c r="AR22" i="19"/>
  <c r="AM23" i="19"/>
  <c r="AI24" i="19"/>
  <c r="AE25" i="19"/>
  <c r="AU25" i="19"/>
  <c r="AC22" i="19"/>
  <c r="AH24" i="19"/>
  <c r="AF26" i="19"/>
  <c r="AF28" i="19"/>
  <c r="AC23" i="19"/>
  <c r="AG27" i="19"/>
  <c r="AF30" i="19"/>
  <c r="AQ31" i="19"/>
  <c r="AG33" i="19"/>
  <c r="AR34" i="19"/>
  <c r="AF36" i="19"/>
  <c r="AP37" i="19"/>
  <c r="AL38" i="19"/>
  <c r="AD39" i="19"/>
  <c r="AN39" i="19"/>
  <c r="AD40" i="19"/>
  <c r="AN40" i="19"/>
  <c r="AB41" i="19"/>
  <c r="AN41" i="19"/>
  <c r="AB42" i="19"/>
  <c r="AL42" i="19"/>
  <c r="AF22" i="19"/>
  <c r="AE23" i="19"/>
  <c r="AE24" i="19"/>
  <c r="AI25" i="19"/>
  <c r="AI26" i="19"/>
  <c r="AE27" i="19"/>
  <c r="AU27" i="19"/>
  <c r="AQ28" i="19"/>
  <c r="AM29" i="19"/>
  <c r="AV29" i="19"/>
  <c r="AI30" i="19"/>
  <c r="AQ30" i="19"/>
  <c r="AD31" i="19"/>
  <c r="AL31" i="19"/>
  <c r="AT31" i="19"/>
  <c r="AG32" i="19"/>
  <c r="AO32" i="19"/>
  <c r="AB33" i="19"/>
  <c r="AJ33" i="19"/>
  <c r="AR33" i="19"/>
  <c r="AE34" i="19"/>
  <c r="AM34" i="19"/>
  <c r="AU34" i="19"/>
  <c r="AI35" i="19"/>
  <c r="AQ35" i="19"/>
  <c r="AE36" i="19"/>
  <c r="AM36" i="19"/>
  <c r="AU36" i="19"/>
  <c r="AI37" i="19"/>
  <c r="AQ37" i="19"/>
  <c r="AE38" i="19"/>
  <c r="AM38" i="19"/>
  <c r="AU38" i="19"/>
  <c r="AI39" i="19"/>
  <c r="AQ39" i="19"/>
  <c r="AE40" i="19"/>
  <c r="AM40" i="19"/>
  <c r="AU40" i="19"/>
  <c r="AI41" i="19"/>
  <c r="AQ41" i="19"/>
  <c r="AE42" i="19"/>
  <c r="AM42" i="19"/>
  <c r="AU42" i="19"/>
  <c r="AQ22" i="19"/>
  <c r="AR24" i="19"/>
  <c r="AR26" i="19"/>
  <c r="AP28" i="19"/>
  <c r="AC24" i="19"/>
  <c r="AK28" i="19"/>
  <c r="AN30" i="19"/>
  <c r="AD32" i="19"/>
  <c r="AO33" i="19"/>
  <c r="AD35" i="19"/>
  <c r="AN36" i="19"/>
  <c r="AB38" i="19"/>
  <c r="AR38" i="19"/>
  <c r="AF39" i="19"/>
  <c r="AR39" i="19"/>
  <c r="AF40" i="19"/>
  <c r="AP40" i="19"/>
  <c r="AF41" i="19"/>
  <c r="AP41" i="19"/>
  <c r="AD42" i="19"/>
  <c r="AP42" i="19"/>
  <c r="AJ22" i="19"/>
  <c r="AI23" i="19"/>
  <c r="AM24" i="19"/>
  <c r="AM25" i="19"/>
  <c r="AM26" i="19"/>
  <c r="AI27" i="19"/>
  <c r="AE28" i="19"/>
  <c r="AU28" i="19"/>
  <c r="AP29" i="19"/>
  <c r="AC30" i="19"/>
  <c r="AK30" i="19"/>
  <c r="AS30" i="19"/>
  <c r="AF31" i="19"/>
  <c r="AN31" i="19"/>
  <c r="AV31" i="19"/>
  <c r="AI32" i="19"/>
  <c r="AQ32" i="19"/>
  <c r="AD33" i="19"/>
  <c r="AL33" i="19"/>
  <c r="AT33" i="19"/>
  <c r="AG34" i="19"/>
  <c r="AO34" i="19"/>
  <c r="AC35" i="19"/>
  <c r="AK35" i="19"/>
  <c r="AS35" i="19"/>
  <c r="AG36" i="19"/>
  <c r="AO36" i="19"/>
  <c r="AC37" i="19"/>
  <c r="AK37" i="19"/>
  <c r="AS37" i="19"/>
  <c r="AG38" i="19"/>
  <c r="AO38" i="19"/>
  <c r="AC39" i="19"/>
  <c r="AK39" i="19"/>
  <c r="AS39" i="19"/>
  <c r="AG40" i="19"/>
  <c r="AO40" i="19"/>
  <c r="AC41" i="19"/>
  <c r="AK41" i="19"/>
  <c r="AS41" i="19"/>
  <c r="AG42" i="19"/>
  <c r="AO42" i="19"/>
  <c r="AH23" i="19"/>
  <c r="AH25" i="19"/>
  <c r="AF27" i="19"/>
  <c r="AD29" i="19"/>
  <c r="AG25" i="19"/>
  <c r="AG29" i="19"/>
  <c r="AV30" i="19"/>
  <c r="AL32" i="19"/>
  <c r="AB34" i="19"/>
  <c r="AL35" i="19"/>
  <c r="AV36" i="19"/>
  <c r="AD38" i="19"/>
  <c r="AT38" i="19"/>
  <c r="AJ39" i="19"/>
  <c r="AT39" i="19"/>
  <c r="AH40" i="19"/>
  <c r="AT40" i="19"/>
  <c r="AH41" i="19"/>
  <c r="AR41" i="19"/>
  <c r="AH42" i="19"/>
  <c r="AR42" i="19"/>
  <c r="AN22" i="19"/>
  <c r="AQ23" i="19"/>
  <c r="AQ24" i="19"/>
  <c r="AQ25" i="19"/>
  <c r="AQ26" i="19"/>
  <c r="AM27" i="19"/>
  <c r="AI28" i="19"/>
  <c r="AE29" i="19"/>
  <c r="AR29" i="19"/>
  <c r="AE30" i="19"/>
  <c r="AM30" i="19"/>
  <c r="AU30" i="19"/>
  <c r="AH31" i="19"/>
  <c r="AP31" i="19"/>
  <c r="AC32" i="19"/>
  <c r="AK32" i="19"/>
  <c r="AS32" i="19"/>
  <c r="AF33" i="19"/>
  <c r="AN33" i="19"/>
  <c r="AV33" i="19"/>
  <c r="AI34" i="19"/>
  <c r="AQ34" i="19"/>
  <c r="AE35" i="19"/>
  <c r="AM35" i="19"/>
  <c r="AU35" i="19"/>
  <c r="AI36" i="19"/>
  <c r="AQ36" i="19"/>
  <c r="AE37" i="19"/>
  <c r="AM37" i="19"/>
  <c r="AU37" i="19"/>
  <c r="AI38" i="19"/>
  <c r="AQ38" i="19"/>
  <c r="AE39" i="19"/>
  <c r="AM39" i="19"/>
  <c r="AU39" i="19"/>
  <c r="AI40" i="19"/>
  <c r="AQ40" i="19"/>
  <c r="AE41" i="19"/>
  <c r="AM41" i="19"/>
  <c r="AU41" i="19"/>
  <c r="AI42" i="19"/>
  <c r="AQ42" i="19"/>
  <c r="AT23" i="19"/>
  <c r="AR25" i="19"/>
  <c r="AP27" i="19"/>
  <c r="AD22" i="19"/>
  <c r="AG26" i="19"/>
  <c r="AS29" i="19"/>
  <c r="AI31" i="19"/>
  <c r="AT32" i="19"/>
  <c r="AJ34" i="19"/>
  <c r="AT35" i="19"/>
  <c r="AH37" i="19"/>
  <c r="AJ38" i="19"/>
  <c r="AB39" i="19"/>
  <c r="AL39" i="19"/>
  <c r="AV39" i="19"/>
  <c r="AL40" i="19"/>
  <c r="AV40" i="19"/>
  <c r="AJ41" i="19"/>
  <c r="AV41" i="19"/>
  <c r="AJ42" i="19"/>
  <c r="AT42" i="19"/>
  <c r="AV22" i="19"/>
  <c r="AU23" i="19"/>
  <c r="AU24" i="19"/>
  <c r="AE26" i="19"/>
  <c r="AU26" i="19"/>
  <c r="AQ27" i="19"/>
  <c r="AM28" i="19"/>
  <c r="AI29" i="19"/>
  <c r="AT29" i="19"/>
  <c r="AG30" i="19"/>
  <c r="AO30" i="19"/>
  <c r="AB31" i="19"/>
  <c r="AJ31" i="19"/>
  <c r="AR31" i="19"/>
  <c r="AE32" i="19"/>
  <c r="AM32" i="19"/>
  <c r="AU32" i="19"/>
  <c r="AH33" i="19"/>
  <c r="AP33" i="19"/>
  <c r="AC34" i="19"/>
  <c r="AK34" i="19"/>
  <c r="AS34" i="19"/>
  <c r="AG35" i="19"/>
  <c r="AO35" i="19"/>
  <c r="AC36" i="19"/>
  <c r="AK36" i="19"/>
  <c r="AS36" i="19"/>
  <c r="AG37" i="19"/>
  <c r="AO37" i="19"/>
  <c r="AC38" i="19"/>
  <c r="AK38" i="19"/>
  <c r="AS38" i="19"/>
  <c r="AG39" i="19"/>
  <c r="AO39" i="19"/>
  <c r="AC40" i="19"/>
  <c r="AK40" i="19"/>
  <c r="AS40" i="19"/>
  <c r="AG41" i="19"/>
  <c r="AO41" i="19"/>
  <c r="AC42" i="19"/>
  <c r="AK42" i="19"/>
  <c r="AS42" i="19"/>
  <c r="AB22" i="17" a="1"/>
  <c r="C20" i="20"/>
  <c r="F16" i="17"/>
  <c r="F13" i="17" s="1"/>
  <c r="Y21" i="4" a="1"/>
  <c r="C8" i="17"/>
  <c r="N8" i="17" s="1"/>
  <c r="X30" i="17" a="1"/>
  <c r="C19" i="20"/>
  <c r="H16" i="17"/>
  <c r="H13" i="17" s="1"/>
  <c r="AX22" i="19" l="1" a="1"/>
  <c r="I19" i="17"/>
  <c r="D19" i="17"/>
  <c r="X22" i="17" a="1"/>
  <c r="X32" i="17"/>
  <c r="X33" i="17"/>
  <c r="X30" i="17"/>
  <c r="X34" i="17"/>
  <c r="X31" i="17"/>
  <c r="AR24" i="17"/>
  <c r="AP27" i="17"/>
  <c r="AO30" i="17"/>
  <c r="AP33" i="17"/>
  <c r="AS36" i="17"/>
  <c r="AC40" i="17"/>
  <c r="AK27" i="17"/>
  <c r="AU33" i="17"/>
  <c r="AH40" i="17"/>
  <c r="AR22" i="17"/>
  <c r="AE29" i="17"/>
  <c r="AV34" i="17"/>
  <c r="AF40" i="17"/>
  <c r="AR27" i="17"/>
  <c r="AQ30" i="17"/>
  <c r="AR33" i="17"/>
  <c r="AE34" i="17"/>
  <c r="AD22" i="17"/>
  <c r="AT34" i="17"/>
  <c r="AQ23" i="17"/>
  <c r="AR35" i="17"/>
  <c r="AB23" i="17"/>
  <c r="AM35" i="17"/>
  <c r="AS24" i="17"/>
  <c r="AP37" i="17"/>
  <c r="AQ29" i="17"/>
  <c r="AO40" i="17"/>
  <c r="AU22" i="17"/>
  <c r="AT25" i="17"/>
  <c r="AR28" i="17"/>
  <c r="AR31" i="17"/>
  <c r="AS34" i="17"/>
  <c r="AC38" i="17"/>
  <c r="AK23" i="17"/>
  <c r="AS29" i="17"/>
  <c r="AH36" i="17"/>
  <c r="AL41" i="17"/>
  <c r="AE25" i="17"/>
  <c r="AG31" i="17"/>
  <c r="AV36" i="17"/>
  <c r="AM41" i="17"/>
  <c r="AT28" i="17"/>
  <c r="AT31" i="17"/>
  <c r="AV23" i="17"/>
  <c r="AM36" i="17"/>
  <c r="AS26" i="17"/>
  <c r="AP39" i="17"/>
  <c r="AK28" i="17"/>
  <c r="AR39" i="17"/>
  <c r="AF25" i="17"/>
  <c r="AU37" i="17"/>
  <c r="AO29" i="17"/>
  <c r="AJ41" i="17"/>
  <c r="AB34" i="17"/>
  <c r="AN22" i="17"/>
  <c r="AQ22" i="17"/>
  <c r="AF24" i="17"/>
  <c r="AP25" i="17"/>
  <c r="AD27" i="17"/>
  <c r="AN28" i="17"/>
  <c r="AC30" i="17"/>
  <c r="AN31" i="17"/>
  <c r="AD33" i="17"/>
  <c r="AO34" i="17"/>
  <c r="AG36" i="17"/>
  <c r="AS37" i="17"/>
  <c r="AK39" i="17"/>
  <c r="AC23" i="17"/>
  <c r="AG26" i="17"/>
  <c r="AK29" i="17"/>
  <c r="AP32" i="17"/>
  <c r="AT35" i="17"/>
  <c r="AD39" i="17"/>
  <c r="AH41" i="17"/>
  <c r="AR42" i="17"/>
  <c r="AQ24" i="17"/>
  <c r="AU27" i="17"/>
  <c r="AV30" i="17"/>
  <c r="AS33" i="17"/>
  <c r="AN36" i="17"/>
  <c r="AB22" i="17"/>
  <c r="AH23" i="17"/>
  <c r="AV26" i="17"/>
  <c r="AJ31" i="17"/>
  <c r="AG35" i="17"/>
  <c r="AG39" i="17"/>
  <c r="AC29" i="17"/>
  <c r="AD37" i="17"/>
  <c r="AN42" i="17"/>
  <c r="AN30" i="17"/>
  <c r="AN37" i="17"/>
  <c r="AQ42" i="17"/>
  <c r="AL31" i="17"/>
  <c r="AP24" i="17"/>
  <c r="AU38" i="17"/>
  <c r="AD38" i="17"/>
  <c r="AB30" i="17"/>
  <c r="AK42" i="17"/>
  <c r="AE37" i="17"/>
  <c r="AI31" i="17"/>
  <c r="AM26" i="17"/>
  <c r="AG42" i="17"/>
  <c r="AJ24" i="17"/>
  <c r="AB28" i="17"/>
  <c r="AM32" i="17"/>
  <c r="AK36" i="17"/>
  <c r="AK40" i="17"/>
  <c r="AM31" i="17"/>
  <c r="AL39" i="17"/>
  <c r="AM23" i="17"/>
  <c r="AR32" i="17"/>
  <c r="AN39" i="17"/>
  <c r="AD28" i="17"/>
  <c r="AO32" i="17"/>
  <c r="AT26" i="17"/>
  <c r="AO23" i="17"/>
  <c r="AN41" i="17"/>
  <c r="AJ34" i="17"/>
  <c r="AR23" i="17"/>
  <c r="AM39" i="17"/>
  <c r="AD36" i="17"/>
  <c r="AC31" i="17"/>
  <c r="AI22" i="17"/>
  <c r="AN24" i="17"/>
  <c r="AJ26" i="17"/>
  <c r="AF28" i="17"/>
  <c r="AK30" i="17"/>
  <c r="AI32" i="17"/>
  <c r="AG34" i="17"/>
  <c r="AO36" i="17"/>
  <c r="AO38" i="17"/>
  <c r="AH22" i="17"/>
  <c r="AC27" i="17"/>
  <c r="AE31" i="17"/>
  <c r="AD35" i="17"/>
  <c r="AT39" i="17"/>
  <c r="AB42" i="17"/>
  <c r="AU23" i="17"/>
  <c r="AO28" i="17"/>
  <c r="AJ32" i="17"/>
  <c r="AV35" i="17"/>
  <c r="AF39" i="17"/>
  <c r="AI41" i="17"/>
  <c r="AU42" i="17"/>
  <c r="AP28" i="17"/>
  <c r="AE30" i="17"/>
  <c r="AP31" i="17"/>
  <c r="AF33" i="17"/>
  <c r="AN23" i="17"/>
  <c r="AL26" i="17"/>
  <c r="AE36" i="17"/>
  <c r="AI39" i="17"/>
  <c r="AC26" i="17"/>
  <c r="AL32" i="17"/>
  <c r="AT38" i="17"/>
  <c r="AP42" i="17"/>
  <c r="AQ27" i="17"/>
  <c r="AO33" i="17"/>
  <c r="AB39" i="17"/>
  <c r="AS42" i="17"/>
  <c r="AT24" i="17"/>
  <c r="AI34" i="17"/>
  <c r="AM37" i="17"/>
  <c r="AL22" i="17"/>
  <c r="AU28" i="17"/>
  <c r="AH35" i="17"/>
  <c r="AB41" i="17"/>
  <c r="AI27" i="17"/>
  <c r="AG33" i="17"/>
  <c r="AR38" i="17"/>
  <c r="AO42" i="17"/>
  <c r="AB24" i="17"/>
  <c r="AJ28" i="17"/>
  <c r="AE32" i="17"/>
  <c r="AC36" i="17"/>
  <c r="AP22" i="17"/>
  <c r="AP30" i="17"/>
  <c r="AP38" i="17"/>
  <c r="AI24" i="17"/>
  <c r="AB32" i="17"/>
  <c r="AV38" i="17"/>
  <c r="AL28" i="17"/>
  <c r="AG32" i="17"/>
  <c r="AD26" i="17"/>
  <c r="AG25" i="17"/>
  <c r="AT40" i="17"/>
  <c r="AV32" i="17"/>
  <c r="AL24" i="17"/>
  <c r="AQ38" i="17"/>
  <c r="AL34" i="17"/>
  <c r="AN32" i="17"/>
  <c r="AU24" i="17"/>
  <c r="AD25" i="17"/>
  <c r="AL29" i="17"/>
  <c r="AH33" i="17"/>
  <c r="AG37" i="17"/>
  <c r="AC25" i="17"/>
  <c r="AE33" i="17"/>
  <c r="AR40" i="17"/>
  <c r="AQ26" i="17"/>
  <c r="AF34" i="17"/>
  <c r="AQ40" i="17"/>
  <c r="AN29" i="17"/>
  <c r="AJ33" i="17"/>
  <c r="AU34" i="17"/>
  <c r="AD30" i="17"/>
  <c r="AF22" i="17"/>
  <c r="AB37" i="17"/>
  <c r="AP26" i="17"/>
  <c r="AG23" i="17"/>
  <c r="AH39" i="17"/>
  <c r="AR36" i="17"/>
  <c r="AD23" i="17"/>
  <c r="AV24" i="17"/>
  <c r="AR26" i="17"/>
  <c r="AV28" i="17"/>
  <c r="AS30" i="17"/>
  <c r="AQ32" i="17"/>
  <c r="AC35" i="17"/>
  <c r="AC37" i="17"/>
  <c r="AC39" i="17"/>
  <c r="AS23" i="17"/>
  <c r="AS27" i="17"/>
  <c r="AU31" i="17"/>
  <c r="AP36" i="17"/>
  <c r="AN40" i="17"/>
  <c r="AJ42" i="17"/>
  <c r="AM25" i="17"/>
  <c r="AM29" i="17"/>
  <c r="AC33" i="17"/>
  <c r="AF37" i="17"/>
  <c r="AV39" i="17"/>
  <c r="AQ41" i="17"/>
  <c r="AN27" i="17"/>
  <c r="AB29" i="17"/>
  <c r="AM30" i="17"/>
  <c r="AC32" i="17"/>
  <c r="AN33" i="17"/>
  <c r="AH24" i="17"/>
  <c r="AF27" i="17"/>
  <c r="AU36" i="17"/>
  <c r="AE40" i="17"/>
  <c r="AO27" i="17"/>
  <c r="AD34" i="17"/>
  <c r="AL40" i="17"/>
  <c r="AV22" i="17"/>
  <c r="AI29" i="17"/>
  <c r="AB35" i="17"/>
  <c r="AJ40" i="17"/>
  <c r="AO22" i="17"/>
  <c r="AN25" i="17"/>
  <c r="AE35" i="17"/>
  <c r="AI38" i="17"/>
  <c r="AC24" i="17"/>
  <c r="AL30" i="17"/>
  <c r="AT36" i="17"/>
  <c r="AR41" i="17"/>
  <c r="AS28" i="17"/>
  <c r="AR34" i="17"/>
  <c r="AB40" i="17"/>
  <c r="AE24" i="17"/>
  <c r="AL25" i="17"/>
  <c r="AD29" i="17"/>
  <c r="AU32" i="17"/>
  <c r="AO37" i="17"/>
  <c r="AG24" i="17"/>
  <c r="AH32" i="17"/>
  <c r="AD41" i="17"/>
  <c r="AU25" i="17"/>
  <c r="AK33" i="17"/>
  <c r="AE41" i="17"/>
  <c r="AF29" i="17"/>
  <c r="AB33" i="17"/>
  <c r="AQ35" i="17"/>
  <c r="AM28" i="17"/>
  <c r="AH42" i="17"/>
  <c r="AJ38" i="17"/>
  <c r="AV25" i="17"/>
  <c r="AI40" i="17"/>
  <c r="AP40" i="17"/>
  <c r="AJ35" i="17"/>
  <c r="AE22" i="17"/>
  <c r="AN26" i="17"/>
  <c r="AG30" i="17"/>
  <c r="AC34" i="17"/>
  <c r="AS38" i="17"/>
  <c r="AO26" i="17"/>
  <c r="AP34" i="17"/>
  <c r="AF42" i="17"/>
  <c r="AG28" i="17"/>
  <c r="AN35" i="17"/>
  <c r="AI42" i="17"/>
  <c r="AI30" i="17"/>
  <c r="AK22" i="17"/>
  <c r="AE38" i="17"/>
  <c r="AI33" i="17"/>
  <c r="AI25" i="17"/>
  <c r="AO41" i="17"/>
  <c r="AQ34" i="17"/>
  <c r="AK26" i="17"/>
  <c r="AT42" i="17"/>
  <c r="AJ39" i="17"/>
  <c r="AL23" i="17"/>
  <c r="AH25" i="17"/>
  <c r="AL27" i="17"/>
  <c r="AH29" i="17"/>
  <c r="AF31" i="17"/>
  <c r="AL33" i="17"/>
  <c r="AK35" i="17"/>
  <c r="AK37" i="17"/>
  <c r="AS39" i="17"/>
  <c r="AO24" i="17"/>
  <c r="AQ28" i="17"/>
  <c r="AM33" i="17"/>
  <c r="AL37" i="17"/>
  <c r="AV40" i="17"/>
  <c r="AJ22" i="17"/>
  <c r="AI26" i="17"/>
  <c r="AF30" i="17"/>
  <c r="AN34" i="17"/>
  <c r="AV37" i="17"/>
  <c r="AM40" i="17"/>
  <c r="AE42" i="17"/>
  <c r="AV27" i="17"/>
  <c r="AJ29" i="17"/>
  <c r="AU30" i="17"/>
  <c r="AK32" i="17"/>
  <c r="AC22" i="17"/>
  <c r="AB25" i="17"/>
  <c r="AM34" i="17"/>
  <c r="AQ37" i="17"/>
  <c r="AT22" i="17"/>
  <c r="AG29" i="17"/>
  <c r="AP35" i="17"/>
  <c r="AF41" i="17"/>
  <c r="AM24" i="17"/>
  <c r="AR30" i="17"/>
  <c r="AJ36" i="17"/>
  <c r="AG41" i="17"/>
  <c r="AJ23" i="17"/>
  <c r="AH26" i="17"/>
  <c r="AU35" i="17"/>
  <c r="AE39" i="17"/>
  <c r="AO25" i="17"/>
  <c r="AD32" i="17"/>
  <c r="AL38" i="17"/>
  <c r="AL42" i="17"/>
  <c r="AJ30" i="17"/>
  <c r="AB36" i="17"/>
  <c r="AC41" i="17"/>
  <c r="AI23" i="17"/>
  <c r="AM22" i="17"/>
  <c r="AF26" i="17"/>
  <c r="AT29" i="17"/>
  <c r="AK34" i="17"/>
  <c r="AK38" i="17"/>
  <c r="AS25" i="17"/>
  <c r="AL35" i="17"/>
  <c r="AT41" i="17"/>
  <c r="AM27" i="17"/>
  <c r="AF36" i="17"/>
  <c r="AU41" i="17"/>
  <c r="AV29" i="17"/>
  <c r="AF23" i="17"/>
  <c r="AI37" i="17"/>
  <c r="AQ31" i="17"/>
  <c r="AU26" i="17"/>
  <c r="AS40" i="17"/>
  <c r="AV33" i="17"/>
  <c r="AE28" i="17"/>
  <c r="AD42" i="17"/>
  <c r="AB38" i="17"/>
  <c r="AP23" i="17"/>
  <c r="AH27" i="17"/>
  <c r="AB31" i="17"/>
  <c r="AO35" i="17"/>
  <c r="AO39" i="17"/>
  <c r="AI28" i="17"/>
  <c r="AT37" i="17"/>
  <c r="AV42" i="17"/>
  <c r="AU29" i="17"/>
  <c r="AF38" i="17"/>
  <c r="AJ27" i="17"/>
  <c r="AD31" i="17"/>
  <c r="AJ25" i="17"/>
  <c r="AQ39" i="17"/>
  <c r="AL36" i="17"/>
  <c r="AK31" i="17"/>
  <c r="AG22" i="17"/>
  <c r="AI36" i="17"/>
  <c r="AT32" i="17"/>
  <c r="AC28" i="17"/>
  <c r="AK41" i="17"/>
  <c r="AT23" i="17"/>
  <c r="AB26" i="17"/>
  <c r="AT27" i="17"/>
  <c r="AP29" i="17"/>
  <c r="AV31" i="17"/>
  <c r="AT33" i="17"/>
  <c r="AS35" i="17"/>
  <c r="AG38" i="17"/>
  <c r="AG40" i="17"/>
  <c r="AK25" i="17"/>
  <c r="AH30" i="17"/>
  <c r="AH34" i="17"/>
  <c r="AH38" i="17"/>
  <c r="AP41" i="17"/>
  <c r="AE23" i="17"/>
  <c r="AE27" i="17"/>
  <c r="AO31" i="17"/>
  <c r="AF35" i="17"/>
  <c r="AN38" i="17"/>
  <c r="AU40" i="17"/>
  <c r="AM42" i="17"/>
  <c r="AH28" i="17"/>
  <c r="AR29" i="17"/>
  <c r="AH31" i="17"/>
  <c r="AS32" i="17"/>
  <c r="AS22" i="17"/>
  <c r="AR25" i="17"/>
  <c r="AI35" i="17"/>
  <c r="AM38" i="17"/>
  <c r="AK24" i="17"/>
  <c r="AT30" i="17"/>
  <c r="AH37" i="17"/>
  <c r="AV41" i="17"/>
  <c r="AE26" i="17"/>
  <c r="AF32" i="17"/>
  <c r="AR37" i="17"/>
  <c r="AC42" i="17"/>
  <c r="AD24" i="17"/>
  <c r="AB27" i="17"/>
  <c r="AQ36" i="17"/>
  <c r="AU39" i="17"/>
  <c r="AG27" i="17"/>
  <c r="AQ33" i="17"/>
  <c r="AD40" i="17"/>
  <c r="AQ25" i="17"/>
  <c r="AS31" i="17"/>
  <c r="AJ37" i="17"/>
  <c r="AS41" i="17"/>
  <c r="AG21" i="4"/>
  <c r="AO21" i="4"/>
  <c r="AF22" i="4"/>
  <c r="AN22" i="4"/>
  <c r="AD23" i="4"/>
  <c r="AL23" i="4"/>
  <c r="AB24" i="4"/>
  <c r="AJ24" i="4"/>
  <c r="Z25" i="4"/>
  <c r="AH25" i="4"/>
  <c r="AP25" i="4"/>
  <c r="AF26" i="4"/>
  <c r="AN26" i="4"/>
  <c r="AD27" i="4"/>
  <c r="AL27" i="4"/>
  <c r="AB28" i="4"/>
  <c r="AJ28" i="4"/>
  <c r="Y29" i="4"/>
  <c r="AG29" i="4"/>
  <c r="AO29" i="4"/>
  <c r="AF30" i="4"/>
  <c r="AN30" i="4"/>
  <c r="AC31" i="4"/>
  <c r="AK31" i="4"/>
  <c r="AB32" i="4"/>
  <c r="AJ32" i="4"/>
  <c r="Y33" i="4"/>
  <c r="AG33" i="4"/>
  <c r="AI21" i="4"/>
  <c r="AB22" i="4"/>
  <c r="AL22" i="4"/>
  <c r="AF23" i="4"/>
  <c r="AP23" i="4"/>
  <c r="AH24" i="4"/>
  <c r="AB25" i="4"/>
  <c r="AL25" i="4"/>
  <c r="AD26" i="4"/>
  <c r="AP26" i="4"/>
  <c r="AH27" i="4"/>
  <c r="Z28" i="4"/>
  <c r="AL28" i="4"/>
  <c r="AC29" i="4"/>
  <c r="AM29" i="4"/>
  <c r="AH30" i="4"/>
  <c r="Y31" i="4"/>
  <c r="AI31" i="4"/>
  <c r="AD32" i="4"/>
  <c r="AN32" i="4"/>
  <c r="AE33" i="4"/>
  <c r="AO33" i="4"/>
  <c r="AF34" i="4"/>
  <c r="AN34" i="4"/>
  <c r="AC35" i="4"/>
  <c r="AK35" i="4"/>
  <c r="AB36" i="4"/>
  <c r="AJ36" i="4"/>
  <c r="Y37" i="4"/>
  <c r="AG37" i="4"/>
  <c r="AO37" i="4"/>
  <c r="AF38" i="4"/>
  <c r="AN38" i="4"/>
  <c r="AM38" i="4"/>
  <c r="AD21" i="4"/>
  <c r="AL21" i="4"/>
  <c r="AA22" i="4"/>
  <c r="AI22" i="4"/>
  <c r="Y23" i="4"/>
  <c r="AG23" i="4"/>
  <c r="AO23" i="4"/>
  <c r="AE24" i="4"/>
  <c r="AM24" i="4"/>
  <c r="AC25" i="4"/>
  <c r="AK25" i="4"/>
  <c r="AA26" i="4"/>
  <c r="AI26" i="4"/>
  <c r="Y27" i="4"/>
  <c r="AG27" i="4"/>
  <c r="AO27" i="4"/>
  <c r="AE28" i="4"/>
  <c r="AM28" i="4"/>
  <c r="AD29" i="4"/>
  <c r="AL29" i="4"/>
  <c r="AA30" i="4"/>
  <c r="AI30" i="4"/>
  <c r="Z31" i="4"/>
  <c r="AH31" i="4"/>
  <c r="AP31" i="4"/>
  <c r="AE32" i="4"/>
  <c r="AM32" i="4"/>
  <c r="AD33" i="4"/>
  <c r="AL33" i="4"/>
  <c r="AA34" i="4"/>
  <c r="AI34" i="4"/>
  <c r="Z35" i="4"/>
  <c r="AH35" i="4"/>
  <c r="AP35" i="4"/>
  <c r="AE36" i="4"/>
  <c r="AM36" i="4"/>
  <c r="AD37" i="4"/>
  <c r="AL37" i="4"/>
  <c r="AA38" i="4"/>
  <c r="AO38" i="4"/>
  <c r="AA21" i="4"/>
  <c r="AM21" i="4"/>
  <c r="AJ22" i="4"/>
  <c r="AH23" i="4"/>
  <c r="AD24" i="4"/>
  <c r="AP24" i="4"/>
  <c r="AE21" i="4"/>
  <c r="AD22" i="4"/>
  <c r="Z23" i="4"/>
  <c r="AN23" i="4"/>
  <c r="AL24" i="4"/>
  <c r="AF25" i="4"/>
  <c r="AB26" i="4"/>
  <c r="Z27" i="4"/>
  <c r="AN27" i="4"/>
  <c r="AH28" i="4"/>
  <c r="AE29" i="4"/>
  <c r="AB30" i="4"/>
  <c r="AP30" i="4"/>
  <c r="AM31" i="4"/>
  <c r="AH32" i="4"/>
  <c r="AC33" i="4"/>
  <c r="Z34" i="4"/>
  <c r="AJ34" i="4"/>
  <c r="AA35" i="4"/>
  <c r="AM35" i="4"/>
  <c r="AF36" i="4"/>
  <c r="AP36" i="4"/>
  <c r="AI37" i="4"/>
  <c r="AB38" i="4"/>
  <c r="AL38" i="4"/>
  <c r="Y21" i="4"/>
  <c r="AH21" i="4"/>
  <c r="Y22" i="4"/>
  <c r="AK22" i="4"/>
  <c r="AC23" i="4"/>
  <c r="AM23" i="4"/>
  <c r="AG24" i="4"/>
  <c r="Y25" i="4"/>
  <c r="AI25" i="4"/>
  <c r="AC26" i="4"/>
  <c r="AM26" i="4"/>
  <c r="AE27" i="4"/>
  <c r="Y28" i="4"/>
  <c r="AI28" i="4"/>
  <c r="AB29" i="4"/>
  <c r="AN29" i="4"/>
  <c r="AE30" i="4"/>
  <c r="AO30" i="4"/>
  <c r="AJ31" i="4"/>
  <c r="AA32" i="4"/>
  <c r="AK32" i="4"/>
  <c r="AF33" i="4"/>
  <c r="AP33" i="4"/>
  <c r="AG34" i="4"/>
  <c r="AB35" i="4"/>
  <c r="AL35" i="4"/>
  <c r="AC36" i="4"/>
  <c r="AO36" i="4"/>
  <c r="AH37" i="4"/>
  <c r="Y38" i="4"/>
  <c r="AC21" i="4"/>
  <c r="AP22" i="4"/>
  <c r="AF24" i="4"/>
  <c r="AN25" i="4"/>
  <c r="AL26" i="4"/>
  <c r="AP27" i="4"/>
  <c r="AP28" i="4"/>
  <c r="Z30" i="4"/>
  <c r="AA31" i="4"/>
  <c r="Z32" i="4"/>
  <c r="AA33" i="4"/>
  <c r="AB34" i="4"/>
  <c r="AP34" i="4"/>
  <c r="AI35" i="4"/>
  <c r="AH36" i="4"/>
  <c r="AC37" i="4"/>
  <c r="Z38" i="4"/>
  <c r="AP38" i="4"/>
  <c r="AB21" i="4"/>
  <c r="AP21" i="4"/>
  <c r="AM22" i="4"/>
  <c r="AI23" i="4"/>
  <c r="AC24" i="4"/>
  <c r="AA25" i="4"/>
  <c r="AO25" i="4"/>
  <c r="AK26" i="4"/>
  <c r="AI27" i="4"/>
  <c r="AC28" i="4"/>
  <c r="Z29" i="4"/>
  <c r="AP29" i="4"/>
  <c r="AK30" i="4"/>
  <c r="AF31" i="4"/>
  <c r="AC32" i="4"/>
  <c r="Z33" i="4"/>
  <c r="AN33" i="4"/>
  <c r="AK34" i="4"/>
  <c r="AF35" i="4"/>
  <c r="AA36" i="4"/>
  <c r="Z37" i="4"/>
  <c r="AN37" i="4"/>
  <c r="AK38" i="4"/>
  <c r="AK21" i="4"/>
  <c r="AB23" i="4"/>
  <c r="AN24" i="4"/>
  <c r="Z26" i="4"/>
  <c r="AB27" i="4"/>
  <c r="AD28" i="4"/>
  <c r="AA29" i="4"/>
  <c r="AD30" i="4"/>
  <c r="AE31" i="4"/>
  <c r="AF32" i="4"/>
  <c r="AI33" i="4"/>
  <c r="AD34" i="4"/>
  <c r="Y35" i="4"/>
  <c r="AO35" i="4"/>
  <c r="AL36" i="4"/>
  <c r="AE37" i="4"/>
  <c r="AD38" i="4"/>
  <c r="AE38" i="4"/>
  <c r="AF21" i="4"/>
  <c r="AC22" i="4"/>
  <c r="AO22" i="4"/>
  <c r="AK23" i="4"/>
  <c r="AI24" i="4"/>
  <c r="AE25" i="4"/>
  <c r="Z22" i="4"/>
  <c r="AJ23" i="4"/>
  <c r="AD25" i="4"/>
  <c r="AH26" i="4"/>
  <c r="AF27" i="4"/>
  <c r="AF28" i="4"/>
  <c r="AI29" i="4"/>
  <c r="AJ30" i="4"/>
  <c r="AG31" i="4"/>
  <c r="AL32" i="4"/>
  <c r="AK33" i="4"/>
  <c r="AH34" i="4"/>
  <c r="AE35" i="4"/>
  <c r="Z36" i="4"/>
  <c r="AN36" i="4"/>
  <c r="AK37" i="4"/>
  <c r="AH38" i="4"/>
  <c r="AI38" i="4"/>
  <c r="AJ21" i="4"/>
  <c r="AE22" i="4"/>
  <c r="AA23" i="4"/>
  <c r="Y24" i="4"/>
  <c r="AK24" i="4"/>
  <c r="AG25" i="4"/>
  <c r="AE26" i="4"/>
  <c r="AA27" i="4"/>
  <c r="AM27" i="4"/>
  <c r="AK28" i="4"/>
  <c r="AH29" i="4"/>
  <c r="AC30" i="4"/>
  <c r="AB31" i="4"/>
  <c r="AN31" i="4"/>
  <c r="AI32" i="4"/>
  <c r="AH33" i="4"/>
  <c r="AC34" i="4"/>
  <c r="AO34" i="4"/>
  <c r="AN35" i="4"/>
  <c r="AI36" i="4"/>
  <c r="AF37" i="4"/>
  <c r="AC38" i="4"/>
  <c r="AH22" i="4"/>
  <c r="Z24" i="4"/>
  <c r="AJ25" i="4"/>
  <c r="AJ26" i="4"/>
  <c r="AJ27" i="4"/>
  <c r="AN28" i="4"/>
  <c r="AK29" i="4"/>
  <c r="AL30" i="4"/>
  <c r="AO31" i="4"/>
  <c r="AP32" i="4"/>
  <c r="AM33" i="4"/>
  <c r="AL34" i="4"/>
  <c r="AG35" i="4"/>
  <c r="AD36" i="4"/>
  <c r="AA37" i="4"/>
  <c r="AM37" i="4"/>
  <c r="AJ38" i="4"/>
  <c r="Z21" i="4"/>
  <c r="AN21" i="4"/>
  <c r="AG22" i="4"/>
  <c r="AE23" i="4"/>
  <c r="AA24" i="4"/>
  <c r="AO24" i="4"/>
  <c r="AM25" i="4"/>
  <c r="AG26" i="4"/>
  <c r="AC27" i="4"/>
  <c r="AA28" i="4"/>
  <c r="AO28" i="4"/>
  <c r="AJ29" i="4"/>
  <c r="AG30" i="4"/>
  <c r="AD31" i="4"/>
  <c r="Y32" i="4"/>
  <c r="AO32" i="4"/>
  <c r="AJ33" i="4"/>
  <c r="AE34" i="4"/>
  <c r="AD35" i="4"/>
  <c r="Y36" i="4"/>
  <c r="AK36" i="4"/>
  <c r="AJ37" i="4"/>
  <c r="AG38" i="4"/>
  <c r="Y26" i="4"/>
  <c r="AF29" i="4"/>
  <c r="AG32" i="4"/>
  <c r="AJ35" i="4"/>
  <c r="AO26" i="4"/>
  <c r="Y30" i="4"/>
  <c r="AB33" i="4"/>
  <c r="AG36" i="4"/>
  <c r="AK27" i="4"/>
  <c r="AM30" i="4"/>
  <c r="Y34" i="4"/>
  <c r="AB37" i="4"/>
  <c r="AG28" i="4"/>
  <c r="AL31" i="4"/>
  <c r="AM34" i="4"/>
  <c r="AP37" i="4"/>
  <c r="AR21" i="4" l="1" a="1"/>
  <c r="X25" i="17"/>
  <c r="X27" i="17"/>
  <c r="X28" i="17"/>
  <c r="X29" i="17"/>
  <c r="X23" i="17"/>
  <c r="X24" i="17"/>
  <c r="X22" i="17"/>
  <c r="X26" i="17"/>
  <c r="AX22" i="17" a="1"/>
  <c r="AX24" i="19"/>
  <c r="AX28" i="19"/>
  <c r="AX30" i="19"/>
  <c r="AX36" i="19"/>
  <c r="AX25" i="19"/>
  <c r="AX29" i="19"/>
  <c r="AX32" i="19"/>
  <c r="AX37" i="19"/>
  <c r="AX41" i="19"/>
  <c r="AX23" i="19"/>
  <c r="AX27" i="19"/>
  <c r="AX33" i="19"/>
  <c r="AX35" i="19"/>
  <c r="AX39" i="19"/>
  <c r="AX26" i="19"/>
  <c r="AX40" i="19"/>
  <c r="AX31" i="19"/>
  <c r="AX42" i="19"/>
  <c r="AX34" i="19"/>
  <c r="AX22" i="19"/>
  <c r="AX38" i="19"/>
  <c r="AX32" i="17" l="1"/>
  <c r="AX29" i="17"/>
  <c r="AX30" i="17"/>
  <c r="AX23" i="17"/>
  <c r="AX26" i="17"/>
  <c r="AX41" i="17"/>
  <c r="AX37" i="17"/>
  <c r="AX27" i="17"/>
  <c r="AX28" i="17"/>
  <c r="AX24" i="17"/>
  <c r="AX35" i="17"/>
  <c r="AX42" i="17"/>
  <c r="AX38" i="17"/>
  <c r="AX34" i="17"/>
  <c r="AX22" i="17"/>
  <c r="AX40" i="17"/>
  <c r="AX31" i="17"/>
  <c r="AX36" i="17"/>
  <c r="AX33" i="17"/>
  <c r="AX25" i="17"/>
  <c r="AX39" i="17"/>
  <c r="AR29" i="4"/>
  <c r="AR37" i="4"/>
  <c r="AR24" i="4"/>
  <c r="AR34" i="4"/>
  <c r="AR31" i="4"/>
  <c r="AR38" i="4"/>
  <c r="AR25" i="4"/>
  <c r="AR28" i="4"/>
  <c r="AR36" i="4"/>
  <c r="AR21" i="4"/>
  <c r="AR35" i="4"/>
  <c r="AR23" i="4"/>
  <c r="AR27" i="4"/>
  <c r="AT27" i="4" s="1"/>
  <c r="AR32" i="4"/>
  <c r="AR22" i="4"/>
  <c r="AR26" i="4"/>
  <c r="AR30" i="4"/>
  <c r="AR33" i="4"/>
  <c r="B44" i="17" l="1" a="1"/>
  <c r="D44" i="17" l="1"/>
  <c r="H44" i="17"/>
  <c r="L44" i="17"/>
  <c r="P44" i="17"/>
  <c r="T44" i="17"/>
  <c r="E44" i="17"/>
  <c r="I44" i="17"/>
  <c r="M44" i="17"/>
  <c r="Q44" i="17"/>
  <c r="U44" i="17"/>
  <c r="B44" i="17"/>
  <c r="F44" i="17"/>
  <c r="J44" i="17"/>
  <c r="N44" i="17"/>
  <c r="R44" i="17"/>
  <c r="V44" i="17"/>
  <c r="C44" i="17"/>
  <c r="G44" i="17"/>
  <c r="K44" i="17"/>
  <c r="O44" i="17"/>
  <c r="S44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Dorma</author>
  </authors>
  <commentList>
    <comment ref="J22" authorId="0" shapeId="0" xr:uid="{00000000-0006-0000-0100-000001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above stoich matrix</t>
        </r>
      </text>
    </comment>
    <comment ref="X22" authorId="0" shapeId="0" xr:uid="{00000000-0006-0000-0100-000002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initial concentrations</t>
        </r>
      </text>
    </comment>
    <comment ref="O30" authorId="0" shapeId="0" xr:uid="{00000000-0006-0000-0100-000003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Coeffs from stoich matrix</t>
        </r>
      </text>
    </comment>
    <comment ref="X30" authorId="0" shapeId="0" xr:uid="{00000000-0006-0000-0100-000004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ln of K vector</t>
        </r>
      </text>
    </comment>
    <comment ref="X35" authorId="0" shapeId="0" xr:uid="{00000000-0006-0000-0100-000005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6" authorId="0" shapeId="0" xr:uid="{00000000-0006-0000-0100-000006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7" authorId="0" shapeId="0" xr:uid="{00000000-0006-0000-0100-000007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8" authorId="0" shapeId="0" xr:uid="{00000000-0006-0000-0100-000008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9" authorId="0" shapeId="0" xr:uid="{00000000-0006-0000-0100-000009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0" authorId="0" shapeId="0" xr:uid="{00000000-0006-0000-0100-00000A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1" authorId="0" shapeId="0" xr:uid="{00000000-0006-0000-0100-00000B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2" authorId="0" shapeId="0" xr:uid="{00000000-0006-0000-0100-00000C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Dorma</author>
  </authors>
  <commentList>
    <comment ref="I21" authorId="0" shapeId="0" xr:uid="{00000000-0006-0000-0200-000001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above stoich matrix</t>
        </r>
      </text>
    </comment>
    <comment ref="U21" authorId="0" shapeId="0" xr:uid="{00000000-0006-0000-0200-000002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initial concentrations</t>
        </r>
      </text>
    </comment>
    <comment ref="M28" authorId="0" shapeId="0" xr:uid="{00000000-0006-0000-0200-000003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Coeffs from stoich matrix</t>
        </r>
      </text>
    </comment>
    <comment ref="U28" authorId="0" shapeId="0" xr:uid="{00000000-0006-0000-0200-000004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ln of K vector</t>
        </r>
      </text>
    </comment>
    <comment ref="U32" authorId="0" shapeId="0" xr:uid="{00000000-0006-0000-0200-000005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Dorma</author>
  </authors>
  <commentList>
    <comment ref="J22" authorId="0" shapeId="0" xr:uid="{00000000-0006-0000-0300-000001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above stoich matrix</t>
        </r>
      </text>
    </comment>
    <comment ref="X22" authorId="0" shapeId="0" xr:uid="{00000000-0006-0000-0300-000002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initial concentrations</t>
        </r>
      </text>
    </comment>
    <comment ref="O30" authorId="0" shapeId="0" xr:uid="{00000000-0006-0000-0300-000003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Coeffs from stoich matrix</t>
        </r>
      </text>
    </comment>
    <comment ref="X30" authorId="0" shapeId="0" xr:uid="{00000000-0006-0000-0300-000004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ln of K vector</t>
        </r>
      </text>
    </comment>
    <comment ref="X35" authorId="0" shapeId="0" xr:uid="{00000000-0006-0000-0300-000005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6" authorId="0" shapeId="0" xr:uid="{00000000-0006-0000-0300-000006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7" authorId="0" shapeId="0" xr:uid="{00000000-0006-0000-0300-000007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8" authorId="0" shapeId="0" xr:uid="{00000000-0006-0000-0300-000008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9" authorId="0" shapeId="0" xr:uid="{00000000-0006-0000-0300-000009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0" authorId="0" shapeId="0" xr:uid="{00000000-0006-0000-0300-00000A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1" authorId="0" shapeId="0" xr:uid="{00000000-0006-0000-0300-00000B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2" authorId="0" shapeId="0" xr:uid="{00000000-0006-0000-0300-00000C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</commentList>
</comments>
</file>

<file path=xl/sharedStrings.xml><?xml version="1.0" encoding="utf-8"?>
<sst xmlns="http://schemas.openxmlformats.org/spreadsheetml/2006/main" count="455" uniqueCount="141">
  <si>
    <t>Multicomponent ionic equilibria</t>
  </si>
  <si>
    <t>K. Dorma</t>
  </si>
  <si>
    <t>Equations</t>
  </si>
  <si>
    <t>H2S + NaOH = NaHS + H2O</t>
  </si>
  <si>
    <t>CO2 + NaOH = NaHCO3</t>
  </si>
  <si>
    <t>NaHCO3 + NaOH = Na2CO3 + H20</t>
  </si>
  <si>
    <t>H+ + OH- = H2O</t>
  </si>
  <si>
    <t>OH-</t>
  </si>
  <si>
    <t>H2S</t>
  </si>
  <si>
    <t>HS-</t>
  </si>
  <si>
    <t>CO2</t>
  </si>
  <si>
    <t>HCO3-</t>
  </si>
  <si>
    <t>CO32-</t>
  </si>
  <si>
    <t>H+</t>
  </si>
  <si>
    <t>r1</t>
  </si>
  <si>
    <t>r2</t>
  </si>
  <si>
    <t>r3</t>
  </si>
  <si>
    <t>r4</t>
  </si>
  <si>
    <t>K</t>
  </si>
  <si>
    <t>ln K</t>
  </si>
  <si>
    <t>concentrations</t>
  </si>
  <si>
    <t>conversions</t>
  </si>
  <si>
    <t>ln concentrations</t>
  </si>
  <si>
    <t>RHS</t>
  </si>
  <si>
    <t>OH- balance</t>
  </si>
  <si>
    <t>H2S balance</t>
  </si>
  <si>
    <t>HS- balance</t>
  </si>
  <si>
    <t>CO2 balance</t>
  </si>
  <si>
    <t>HCO3 balance</t>
  </si>
  <si>
    <t>initial concentrations, mol/l</t>
  </si>
  <si>
    <t>known value</t>
  </si>
  <si>
    <t>CO32- balance</t>
  </si>
  <si>
    <t>H+ balance</t>
  </si>
  <si>
    <t>Linearized eqm r1</t>
  </si>
  <si>
    <t>Linearized eqm r2</t>
  </si>
  <si>
    <t>Linearized eqm r3</t>
  </si>
  <si>
    <t>Linearized eqm r4</t>
  </si>
  <si>
    <t>linearization of OH-</t>
  </si>
  <si>
    <t>linearization of H2S</t>
  </si>
  <si>
    <t>linearization of HS-</t>
  </si>
  <si>
    <t>linearization of CO2</t>
  </si>
  <si>
    <t>linearization of HCO3-</t>
  </si>
  <si>
    <t>linearization of CO32-</t>
  </si>
  <si>
    <t>linearization of H+</t>
  </si>
  <si>
    <t>Ainv</t>
  </si>
  <si>
    <t>answer</t>
  </si>
  <si>
    <t>initial estimates (put here for convenience)</t>
  </si>
  <si>
    <t>Hit Ctrl-Q to execute the macro.</t>
  </si>
  <si>
    <t>Macro copies the solution vector and pastes as value in the previous solution row</t>
  </si>
  <si>
    <t>Previous solution row</t>
  </si>
  <si>
    <t>Species</t>
  </si>
  <si>
    <t>Stoichiometry Matrix</t>
  </si>
  <si>
    <t>conversion</t>
  </si>
  <si>
    <t>liters</t>
  </si>
  <si>
    <t>moles</t>
  </si>
  <si>
    <t>NaHS + NaOH = Na2S + H2O</t>
  </si>
  <si>
    <t>r5</t>
  </si>
  <si>
    <t>S2-</t>
  </si>
  <si>
    <t>S2- balance</t>
  </si>
  <si>
    <t>Linearized eqm r5</t>
  </si>
  <si>
    <t>Linearization of S2-</t>
  </si>
  <si>
    <t>soln</t>
  </si>
  <si>
    <t>pH</t>
  </si>
  <si>
    <t>Init Conc.</t>
  </si>
  <si>
    <r>
      <t>[OH</t>
    </r>
    <r>
      <rPr>
        <vertAlign val="superscript"/>
        <sz val="10"/>
        <rFont val="Arial"/>
        <family val="2"/>
      </rPr>
      <t>-</t>
    </r>
    <r>
      <rPr>
        <sz val="10"/>
        <rFont val="Arial"/>
      </rPr>
      <t>]</t>
    </r>
  </si>
  <si>
    <r>
      <t>gmol H</t>
    </r>
    <r>
      <rPr>
        <vertAlign val="superscript"/>
        <sz val="10"/>
        <rFont val="Arial"/>
        <family val="2"/>
      </rPr>
      <t>+</t>
    </r>
    <r>
      <rPr>
        <sz val="10"/>
        <rFont val="Arial"/>
      </rPr>
      <t xml:space="preserve"> added to 1 litre</t>
    </r>
  </si>
  <si>
    <r>
      <t>[HS</t>
    </r>
    <r>
      <rPr>
        <vertAlign val="superscript"/>
        <sz val="10"/>
        <rFont val="Arial"/>
        <family val="2"/>
      </rPr>
      <t>-</t>
    </r>
    <r>
      <rPr>
        <sz val="10"/>
        <rFont val="Arial"/>
      </rPr>
      <t>]</t>
    </r>
  </si>
  <si>
    <r>
      <t>[H</t>
    </r>
    <r>
      <rPr>
        <vertAlign val="superscript"/>
        <sz val="10"/>
        <rFont val="Arial"/>
        <family val="2"/>
      </rPr>
      <t>+</t>
    </r>
    <r>
      <rPr>
        <sz val="10"/>
        <rFont val="Arial"/>
      </rPr>
      <t>]</t>
    </r>
  </si>
  <si>
    <r>
      <t>[S</t>
    </r>
    <r>
      <rPr>
        <vertAlign val="superscript"/>
        <sz val="10"/>
        <rFont val="Arial"/>
        <family val="2"/>
      </rPr>
      <t>-2</t>
    </r>
    <r>
      <rPr>
        <sz val="10"/>
        <rFont val="Arial"/>
      </rPr>
      <t>]</t>
    </r>
  </si>
  <si>
    <r>
      <t>[H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S]</t>
    </r>
  </si>
  <si>
    <r>
      <t>[CO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]</t>
    </r>
  </si>
  <si>
    <r>
      <t>[HCO</t>
    </r>
    <r>
      <rPr>
        <vertAlign val="subscript"/>
        <sz val="10"/>
        <rFont val="Arial"/>
        <family val="2"/>
      </rPr>
      <t>3</t>
    </r>
    <r>
      <rPr>
        <vertAlign val="superscript"/>
        <sz val="10"/>
        <rFont val="Arial"/>
        <family val="2"/>
      </rPr>
      <t>-2</t>
    </r>
    <r>
      <rPr>
        <sz val="10"/>
        <rFont val="Arial"/>
      </rPr>
      <t>]</t>
    </r>
  </si>
  <si>
    <r>
      <t>[CO</t>
    </r>
    <r>
      <rPr>
        <vertAlign val="subscript"/>
        <sz val="10"/>
        <rFont val="Arial"/>
        <family val="2"/>
      </rPr>
      <t>3</t>
    </r>
    <r>
      <rPr>
        <vertAlign val="superscript"/>
        <sz val="10"/>
        <rFont val="Arial"/>
        <family val="2"/>
      </rPr>
      <t>-2</t>
    </r>
    <r>
      <rPr>
        <sz val="10"/>
        <rFont val="Arial"/>
      </rPr>
      <t>]</t>
    </r>
  </si>
  <si>
    <t>input below</t>
  </si>
  <si>
    <t>Concentrations (Copy above cells and paste as values)</t>
  </si>
  <si>
    <t>Previous solution row/initial guess</t>
  </si>
  <si>
    <t>Data input and results for titration curve</t>
  </si>
  <si>
    <t>Log K</t>
  </si>
  <si>
    <t>T0</t>
  </si>
  <si>
    <t>ln K1</t>
  </si>
  <si>
    <t>T1</t>
  </si>
  <si>
    <t>Hf0</t>
  </si>
  <si>
    <t>Heat Formation</t>
  </si>
  <si>
    <t>Hr0</t>
  </si>
  <si>
    <t>Heat of reaction</t>
  </si>
  <si>
    <t>STD State</t>
  </si>
  <si>
    <t>K0</t>
  </si>
  <si>
    <t>ln K0</t>
  </si>
  <si>
    <t>C</t>
  </si>
  <si>
    <t>Temp</t>
  </si>
  <si>
    <t>HCO2</t>
  </si>
  <si>
    <t>HH2S</t>
  </si>
  <si>
    <t>Henry</t>
  </si>
  <si>
    <t>H0 (molékg.bar)</t>
  </si>
  <si>
    <t>d(ln)éd(1éT)</t>
  </si>
  <si>
    <t>T2</t>
  </si>
  <si>
    <t>1éT1</t>
  </si>
  <si>
    <t>1/T2</t>
  </si>
  <si>
    <t>ln H0</t>
  </si>
  <si>
    <t>d(ln)</t>
  </si>
  <si>
    <t>ln H1</t>
  </si>
  <si>
    <t>H1</t>
  </si>
  <si>
    <t>Pressure</t>
  </si>
  <si>
    <t>bar</t>
  </si>
  <si>
    <t>y1</t>
  </si>
  <si>
    <t>pi, bar</t>
  </si>
  <si>
    <t>Ci</t>
  </si>
  <si>
    <t>Inverse</t>
  </si>
  <si>
    <t>bar per (molal)</t>
  </si>
  <si>
    <t>Mpa per molal</t>
  </si>
  <si>
    <t>1000 g water</t>
  </si>
  <si>
    <t>gmol</t>
  </si>
  <si>
    <t>mol frac</t>
  </si>
  <si>
    <t>Mpa per mol fac</t>
  </si>
  <si>
    <t>d ln K1</t>
  </si>
  <si>
    <t>ln conc</t>
  </si>
  <si>
    <t>a</t>
  </si>
  <si>
    <t>b</t>
  </si>
  <si>
    <t>c</t>
  </si>
  <si>
    <t>d</t>
  </si>
  <si>
    <t>e</t>
  </si>
  <si>
    <t>f</t>
  </si>
  <si>
    <t>g</t>
  </si>
  <si>
    <t>hh</t>
  </si>
  <si>
    <t>H2O</t>
  </si>
  <si>
    <t>I just needed to include water in the heat of reaction calc</t>
  </si>
  <si>
    <t>Ionic Equilibrium IO sheet</t>
  </si>
  <si>
    <t>Client</t>
  </si>
  <si>
    <t>Project</t>
  </si>
  <si>
    <t>Date</t>
  </si>
  <si>
    <t>Case</t>
  </si>
  <si>
    <t>Inputs</t>
  </si>
  <si>
    <t>Temperature</t>
  </si>
  <si>
    <t>kPaa</t>
  </si>
  <si>
    <t>y_CO2</t>
  </si>
  <si>
    <t>y_H2S</t>
  </si>
  <si>
    <t>Outputs</t>
  </si>
  <si>
    <t>Test</t>
  </si>
  <si>
    <t>Henry Concentrations</t>
  </si>
  <si>
    <t>gmol/l</t>
  </si>
  <si>
    <t>This should be converted to SciLab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</si>
</sst>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000"/>
    <numFmt numFmtId="166" formatCode="0.000"/>
    <numFmt numFmtId="167" formatCode="0.0%"/>
    <numFmt numFmtId="168" formatCode="0.0"/>
    <numFmt numFmtId="169" formatCode="0.000E+00"/>
  </numFmts>
  <fonts count="12" x14ac:knownFonts="1">
    <font>
      <sz val="10"/>
      <name val="Arial"/>
    </font>
    <font>
      <sz val="10"/>
      <name val="Arial"/>
    </font>
    <font>
      <sz val="8"/>
      <color indexed="81"/>
      <name val="Tahoma"/>
    </font>
    <font>
      <b/>
      <sz val="8"/>
      <color indexed="81"/>
      <name val="Tahoma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46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1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164" fontId="0" fillId="0" borderId="0" xfId="0" applyNumberFormat="1"/>
    <xf numFmtId="0" fontId="6" fillId="0" borderId="0" xfId="0" applyFont="1"/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/>
    <xf numFmtId="168" fontId="0" fillId="0" borderId="0" xfId="0" applyNumberFormat="1" applyAlignment="1">
      <alignment horizontal="center"/>
    </xf>
    <xf numFmtId="167" fontId="1" fillId="0" borderId="0" xfId="1" applyNumberFormat="1"/>
    <xf numFmtId="166" fontId="0" fillId="0" borderId="0" xfId="0" applyNumberFormat="1"/>
    <xf numFmtId="2" fontId="0" fillId="0" borderId="0" xfId="0" applyNumberFormat="1"/>
    <xf numFmtId="0" fontId="0" fillId="4" borderId="0" xfId="0" applyFill="1" applyAlignment="1">
      <alignment horizontal="center"/>
    </xf>
    <xf numFmtId="0" fontId="0" fillId="4" borderId="0" xfId="0" applyFill="1"/>
    <xf numFmtId="165" fontId="0" fillId="3" borderId="0" xfId="0" applyNumberFormat="1" applyFill="1" applyAlignment="1">
      <alignment horizontal="center"/>
    </xf>
    <xf numFmtId="11" fontId="0" fillId="3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11" fontId="0" fillId="0" borderId="0" xfId="0" applyNumberFormat="1" applyFill="1" applyAlignment="1">
      <alignment horizontal="center"/>
    </xf>
    <xf numFmtId="11" fontId="0" fillId="0" borderId="0" xfId="0" applyNumberFormat="1" applyAlignment="1">
      <alignment horizontal="right"/>
    </xf>
    <xf numFmtId="165" fontId="0" fillId="0" borderId="0" xfId="0" applyNumberFormat="1" applyFill="1" applyAlignment="1">
      <alignment horizontal="center"/>
    </xf>
    <xf numFmtId="11" fontId="0" fillId="5" borderId="0" xfId="0" applyNumberFormat="1" applyFill="1"/>
    <xf numFmtId="0" fontId="0" fillId="2" borderId="0" xfId="0" applyFill="1" applyAlignment="1">
      <alignment horizontal="center"/>
    </xf>
    <xf numFmtId="11" fontId="0" fillId="6" borderId="0" xfId="0" applyNumberFormat="1" applyFill="1" applyAlignment="1">
      <alignment horizontal="center"/>
    </xf>
    <xf numFmtId="0" fontId="0" fillId="7" borderId="0" xfId="0" applyFill="1"/>
    <xf numFmtId="0" fontId="0" fillId="8" borderId="0" xfId="0" applyFill="1"/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9" borderId="0" xfId="0" applyFill="1"/>
    <xf numFmtId="0" fontId="8" fillId="0" borderId="1" xfId="0" applyFont="1" applyBorder="1"/>
    <xf numFmtId="0" fontId="8" fillId="0" borderId="0" xfId="0" applyFont="1"/>
    <xf numFmtId="0" fontId="9" fillId="0" borderId="0" xfId="0" applyFont="1"/>
    <xf numFmtId="0" fontId="8" fillId="7" borderId="0" xfId="0" applyFont="1" applyFill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10" borderId="1" xfId="0" applyNumberFormat="1" applyFill="1" applyBorder="1" applyAlignment="1">
      <alignment horizontal="center"/>
    </xf>
    <xf numFmtId="11" fontId="0" fillId="10" borderId="1" xfId="0" applyNumberFormat="1" applyFill="1" applyBorder="1" applyAlignment="1">
      <alignment horizontal="center"/>
    </xf>
    <xf numFmtId="168" fontId="0" fillId="10" borderId="1" xfId="0" applyNumberFormat="1" applyFill="1" applyBorder="1" applyAlignment="1">
      <alignment horizontal="center"/>
    </xf>
    <xf numFmtId="169" fontId="0" fillId="4" borderId="0" xfId="0" applyNumberFormat="1" applyFill="1"/>
    <xf numFmtId="11" fontId="6" fillId="0" borderId="0" xfId="0" applyNumberFormat="1" applyFont="1" applyAlignment="1">
      <alignment horizontal="center"/>
    </xf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"/>
  <sheetViews>
    <sheetView tabSelected="1" workbookViewId="0">
      <selection activeCell="C16" sqref="C16"/>
    </sheetView>
  </sheetViews>
  <sheetFormatPr baseColWidth="10" defaultColWidth="8.83203125" defaultRowHeight="13" x14ac:dyDescent="0.15"/>
  <cols>
    <col min="1" max="1" width="17" customWidth="1"/>
    <col min="3" max="3" width="12" customWidth="1"/>
    <col min="4" max="4" width="13.1640625" customWidth="1"/>
  </cols>
  <sheetData>
    <row r="1" spans="1:5" ht="18" x14ac:dyDescent="0.2">
      <c r="A1" s="38" t="s">
        <v>126</v>
      </c>
    </row>
    <row r="2" spans="1:5" ht="18" x14ac:dyDescent="0.2">
      <c r="A2" s="38" t="s">
        <v>1</v>
      </c>
    </row>
    <row r="3" spans="1:5" ht="18" x14ac:dyDescent="0.2">
      <c r="A3" s="38" t="s">
        <v>140</v>
      </c>
    </row>
    <row r="5" spans="1:5" x14ac:dyDescent="0.15">
      <c r="A5" t="s">
        <v>127</v>
      </c>
      <c r="B5" s="37"/>
    </row>
    <row r="6" spans="1:5" x14ac:dyDescent="0.15">
      <c r="A6" t="s">
        <v>128</v>
      </c>
      <c r="B6" s="37"/>
    </row>
    <row r="7" spans="1:5" x14ac:dyDescent="0.15">
      <c r="A7" t="s">
        <v>129</v>
      </c>
      <c r="B7" s="37"/>
    </row>
    <row r="8" spans="1:5" x14ac:dyDescent="0.15">
      <c r="A8" t="s">
        <v>130</v>
      </c>
      <c r="B8" s="37"/>
    </row>
    <row r="11" spans="1:5" x14ac:dyDescent="0.15">
      <c r="A11" s="9" t="s">
        <v>131</v>
      </c>
      <c r="C11" s="39" t="s">
        <v>137</v>
      </c>
    </row>
    <row r="12" spans="1:5" x14ac:dyDescent="0.15">
      <c r="A12" s="34" t="s">
        <v>132</v>
      </c>
      <c r="B12" s="34" t="s">
        <v>88</v>
      </c>
      <c r="C12" s="40">
        <v>25</v>
      </c>
    </row>
    <row r="13" spans="1:5" x14ac:dyDescent="0.15">
      <c r="A13" s="34" t="s">
        <v>102</v>
      </c>
      <c r="B13" s="34" t="s">
        <v>133</v>
      </c>
      <c r="C13" s="40">
        <v>800</v>
      </c>
    </row>
    <row r="14" spans="1:5" x14ac:dyDescent="0.15">
      <c r="A14" s="34" t="s">
        <v>134</v>
      </c>
      <c r="B14" s="36" t="s">
        <v>112</v>
      </c>
      <c r="C14" s="40">
        <v>1E-3</v>
      </c>
      <c r="E14" s="37"/>
    </row>
    <row r="15" spans="1:5" x14ac:dyDescent="0.15">
      <c r="A15" s="34" t="s">
        <v>135</v>
      </c>
      <c r="B15" s="36" t="s">
        <v>112</v>
      </c>
      <c r="C15" s="40">
        <v>9.9999999999999995E-8</v>
      </c>
    </row>
    <row r="16" spans="1:5" x14ac:dyDescent="0.15">
      <c r="C16" s="2"/>
    </row>
    <row r="17" spans="1:3" x14ac:dyDescent="0.15">
      <c r="A17" s="9" t="s">
        <v>136</v>
      </c>
      <c r="C17" s="2"/>
    </row>
    <row r="18" spans="1:3" x14ac:dyDescent="0.15">
      <c r="A18" s="37" t="s">
        <v>138</v>
      </c>
      <c r="C18" s="2"/>
    </row>
    <row r="19" spans="1:3" x14ac:dyDescent="0.15">
      <c r="A19" s="34" t="str">
        <f>A25</f>
        <v>[CO2]</v>
      </c>
      <c r="B19" s="34"/>
      <c r="C19" s="41">
        <f>ionic_calcs!AI4</f>
        <v>2.8000000000000003E-4</v>
      </c>
    </row>
    <row r="20" spans="1:3" x14ac:dyDescent="0.15">
      <c r="A20" s="36" t="str">
        <f>A23</f>
        <v>[H2S]</v>
      </c>
      <c r="B20" s="34"/>
      <c r="C20" s="41">
        <f>ionic_calcs!AI5</f>
        <v>8.0000000000000015E-8</v>
      </c>
    </row>
    <row r="21" spans="1:3" x14ac:dyDescent="0.15">
      <c r="A21" s="34"/>
      <c r="B21" s="34"/>
      <c r="C21" s="33"/>
    </row>
    <row r="22" spans="1:3" x14ac:dyDescent="0.15">
      <c r="A22" s="34" t="str">
        <f t="array" ref="A22:A30">TRANSPOSE(ionic_calcs!B46:J46)</f>
        <v>[OH-]</v>
      </c>
      <c r="B22" s="36" t="s">
        <v>139</v>
      </c>
      <c r="C22" s="42">
        <f t="array" ref="C22:C30">TRANSPOSE(ionic_calcs!B47:J47)</f>
        <v>9.4008544058599104E-10</v>
      </c>
    </row>
    <row r="23" spans="1:3" x14ac:dyDescent="0.15">
      <c r="A23" s="34" t="str">
        <v>[H2S]</v>
      </c>
      <c r="B23" s="36" t="s">
        <v>139</v>
      </c>
      <c r="C23" s="42">
        <v>7.9181192055230566E-8</v>
      </c>
    </row>
    <row r="24" spans="1:3" x14ac:dyDescent="0.15">
      <c r="A24" s="34" t="str">
        <v>[HS-]</v>
      </c>
      <c r="B24" s="36" t="s">
        <v>139</v>
      </c>
      <c r="C24" s="42">
        <v>8.1880794399928903E-10</v>
      </c>
    </row>
    <row r="25" spans="1:3" x14ac:dyDescent="0.15">
      <c r="A25" s="34" t="str">
        <v>[CO2]</v>
      </c>
      <c r="B25" s="36" t="s">
        <v>139</v>
      </c>
      <c r="C25" s="42">
        <v>2.6936447588478591E-4</v>
      </c>
    </row>
    <row r="26" spans="1:3" x14ac:dyDescent="0.15">
      <c r="A26" s="34" t="str">
        <v>[HCO3-2]</v>
      </c>
      <c r="B26" s="36" t="s">
        <v>139</v>
      </c>
      <c r="C26" s="42">
        <v>1.0635476123584082E-5</v>
      </c>
    </row>
    <row r="27" spans="1:3" x14ac:dyDescent="0.15">
      <c r="A27" s="34" t="str">
        <v>[CO3-2]</v>
      </c>
      <c r="B27" s="36" t="s">
        <v>139</v>
      </c>
      <c r="C27" s="42">
        <v>4.7991630015987189E-11</v>
      </c>
    </row>
    <row r="28" spans="1:3" x14ac:dyDescent="0.15">
      <c r="A28" s="34" t="str">
        <v>[H+]</v>
      </c>
      <c r="B28" s="36" t="s">
        <v>139</v>
      </c>
      <c r="C28" s="42">
        <v>1.063733100023027E-5</v>
      </c>
    </row>
    <row r="29" spans="1:3" x14ac:dyDescent="0.15">
      <c r="A29" s="34" t="str">
        <v>[S-2]</v>
      </c>
      <c r="B29" s="36" t="s">
        <v>139</v>
      </c>
      <c r="C29" s="42">
        <v>7.7013470900031014E-19</v>
      </c>
    </row>
    <row r="30" spans="1:3" x14ac:dyDescent="0.15">
      <c r="A30" s="34" t="str">
        <v>pH</v>
      </c>
      <c r="B30" s="34"/>
      <c r="C30" s="43">
        <v>4.9731673266723817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AX125"/>
  <sheetViews>
    <sheetView topLeftCell="A3" workbookViewId="0">
      <selection activeCell="Q11" sqref="Q11"/>
    </sheetView>
  </sheetViews>
  <sheetFormatPr baseColWidth="10" defaultColWidth="8.83203125" defaultRowHeight="13" x14ac:dyDescent="0.15"/>
  <cols>
    <col min="1" max="1" width="35.33203125" customWidth="1"/>
    <col min="2" max="4" width="11.83203125" customWidth="1"/>
    <col min="5" max="8" width="11.5" bestFit="1" customWidth="1"/>
    <col min="9" max="10" width="9.5" bestFit="1" customWidth="1"/>
    <col min="11" max="11" width="15.6640625" bestFit="1" customWidth="1"/>
    <col min="12" max="12" width="17.6640625" bestFit="1" customWidth="1"/>
    <col min="13" max="19" width="9.5" bestFit="1" customWidth="1"/>
    <col min="21" max="21" width="13" bestFit="1" customWidth="1"/>
    <col min="24" max="24" width="10.1640625" bestFit="1" customWidth="1"/>
    <col min="28" max="48" width="13" bestFit="1" customWidth="1"/>
    <col min="50" max="50" width="13" bestFit="1" customWidth="1"/>
  </cols>
  <sheetData>
    <row r="1" spans="1:35" ht="16" x14ac:dyDescent="0.2">
      <c r="A1" s="12" t="s">
        <v>0</v>
      </c>
      <c r="S1" t="s">
        <v>89</v>
      </c>
      <c r="T1" t="s">
        <v>88</v>
      </c>
      <c r="U1" s="30">
        <f>IO_sheet!C12</f>
        <v>25</v>
      </c>
    </row>
    <row r="2" spans="1:35" x14ac:dyDescent="0.15">
      <c r="A2" s="10" t="s">
        <v>1</v>
      </c>
      <c r="S2" t="s">
        <v>102</v>
      </c>
      <c r="T2" t="s">
        <v>103</v>
      </c>
      <c r="U2" s="30">
        <f>IO_sheet!C13/100</f>
        <v>8</v>
      </c>
    </row>
    <row r="3" spans="1:35" x14ac:dyDescent="0.15">
      <c r="A3" s="11">
        <v>42831</v>
      </c>
      <c r="C3" t="s">
        <v>82</v>
      </c>
      <c r="D3" t="s">
        <v>81</v>
      </c>
      <c r="E3" s="30">
        <v>-230</v>
      </c>
      <c r="F3" s="30">
        <v>-20.6</v>
      </c>
      <c r="G3" s="30">
        <v>-18</v>
      </c>
      <c r="H3" s="30">
        <v>-393</v>
      </c>
      <c r="I3" s="30">
        <v>-692</v>
      </c>
      <c r="J3" s="30">
        <v>-677</v>
      </c>
      <c r="K3" s="30">
        <v>0</v>
      </c>
      <c r="L3" s="30">
        <v>33</v>
      </c>
      <c r="M3" s="30">
        <v>-286</v>
      </c>
      <c r="S3" t="s">
        <v>92</v>
      </c>
      <c r="T3" t="s">
        <v>93</v>
      </c>
      <c r="U3" t="s">
        <v>94</v>
      </c>
      <c r="W3" t="s">
        <v>80</v>
      </c>
      <c r="X3" t="s">
        <v>95</v>
      </c>
      <c r="Y3" t="s">
        <v>96</v>
      </c>
      <c r="Z3" t="s">
        <v>97</v>
      </c>
      <c r="AB3" t="s">
        <v>98</v>
      </c>
      <c r="AC3" t="s">
        <v>99</v>
      </c>
      <c r="AD3" t="s">
        <v>100</v>
      </c>
      <c r="AE3" t="s">
        <v>101</v>
      </c>
      <c r="AG3" t="s">
        <v>104</v>
      </c>
      <c r="AH3" t="s">
        <v>105</v>
      </c>
      <c r="AI3" t="s">
        <v>106</v>
      </c>
    </row>
    <row r="4" spans="1:35" x14ac:dyDescent="0.15">
      <c r="P4" t="s">
        <v>85</v>
      </c>
      <c r="S4" t="s">
        <v>90</v>
      </c>
      <c r="T4">
        <v>3.5000000000000003E-2</v>
      </c>
      <c r="U4">
        <v>2300</v>
      </c>
      <c r="W4" s="30">
        <f>298.15</f>
        <v>298.14999999999998</v>
      </c>
      <c r="X4">
        <f>$U$1+273.15</f>
        <v>298.14999999999998</v>
      </c>
      <c r="Y4">
        <f>1/W4</f>
        <v>3.3540164346805303E-3</v>
      </c>
      <c r="Z4">
        <f>1/X4</f>
        <v>3.3540164346805303E-3</v>
      </c>
      <c r="AB4">
        <f>LN(T4)</f>
        <v>-3.3524072174927233</v>
      </c>
      <c r="AC4">
        <f>U4*(Z4-Y4)</f>
        <v>0</v>
      </c>
      <c r="AD4">
        <f>AB4+AC4</f>
        <v>-3.3524072174927233</v>
      </c>
      <c r="AE4">
        <f>1/EXP(AD4)</f>
        <v>28.571428571428569</v>
      </c>
      <c r="AG4" s="30">
        <f>IO_sheet!C14</f>
        <v>1E-3</v>
      </c>
      <c r="AH4">
        <f>AG4*$U$2</f>
        <v>8.0000000000000002E-3</v>
      </c>
      <c r="AI4" s="31">
        <f>AH4/AE4</f>
        <v>2.8000000000000003E-4</v>
      </c>
    </row>
    <row r="5" spans="1:35" ht="16" x14ac:dyDescent="0.2">
      <c r="E5" s="14" t="s">
        <v>51</v>
      </c>
      <c r="P5" t="s">
        <v>84</v>
      </c>
      <c r="S5" t="s">
        <v>91</v>
      </c>
      <c r="T5">
        <v>0.1</v>
      </c>
      <c r="U5">
        <v>2200</v>
      </c>
      <c r="W5" s="30">
        <f>298.15</f>
        <v>298.14999999999998</v>
      </c>
      <c r="X5">
        <f>$U$1+273.15</f>
        <v>298.14999999999998</v>
      </c>
      <c r="Y5">
        <f>1/W5</f>
        <v>3.3540164346805303E-3</v>
      </c>
      <c r="Z5">
        <f>1/X5</f>
        <v>3.3540164346805303E-3</v>
      </c>
      <c r="AB5">
        <f>LN(T5)</f>
        <v>-2.3025850929940455</v>
      </c>
      <c r="AC5">
        <f>U5*(Z5-Y5)</f>
        <v>0</v>
      </c>
      <c r="AD5">
        <f>AB5+AC5</f>
        <v>-2.3025850929940455</v>
      </c>
      <c r="AE5">
        <f>1/EXP(AD5)</f>
        <v>9.9999999999999982</v>
      </c>
      <c r="AG5" s="30">
        <f>IO_sheet!C15</f>
        <v>9.9999999999999995E-8</v>
      </c>
      <c r="AH5">
        <f>AG5*$U$2</f>
        <v>7.9999999999999996E-7</v>
      </c>
      <c r="AI5" s="31">
        <f>AH5/AE5</f>
        <v>8.0000000000000015E-8</v>
      </c>
    </row>
    <row r="6" spans="1:35" x14ac:dyDescent="0.15">
      <c r="B6" s="13"/>
      <c r="C6" s="45"/>
      <c r="D6" s="13"/>
      <c r="E6" s="9" t="s">
        <v>50</v>
      </c>
      <c r="F6" s="13"/>
      <c r="G6" s="13"/>
      <c r="H6" s="13"/>
      <c r="I6" s="13"/>
      <c r="J6" s="13"/>
      <c r="K6" s="13"/>
      <c r="Q6" s="1"/>
    </row>
    <row r="7" spans="1:35" x14ac:dyDescent="0.15">
      <c r="A7" s="9" t="s">
        <v>2</v>
      </c>
      <c r="B7" s="13" t="s">
        <v>52</v>
      </c>
      <c r="C7" s="13" t="s">
        <v>18</v>
      </c>
      <c r="D7" s="13" t="s">
        <v>19</v>
      </c>
      <c r="E7" s="32" t="s">
        <v>7</v>
      </c>
      <c r="F7" s="32" t="s">
        <v>8</v>
      </c>
      <c r="G7" s="32" t="s">
        <v>9</v>
      </c>
      <c r="H7" s="32" t="s">
        <v>10</v>
      </c>
      <c r="I7" s="32" t="s">
        <v>11</v>
      </c>
      <c r="J7" s="32" t="s">
        <v>12</v>
      </c>
      <c r="K7" s="32" t="s">
        <v>13</v>
      </c>
      <c r="L7" s="32" t="s">
        <v>57</v>
      </c>
      <c r="M7" s="32" t="s">
        <v>124</v>
      </c>
      <c r="N7" s="13" t="s">
        <v>77</v>
      </c>
      <c r="P7" s="13" t="s">
        <v>83</v>
      </c>
      <c r="Q7" t="s">
        <v>86</v>
      </c>
      <c r="R7" s="13" t="s">
        <v>87</v>
      </c>
      <c r="T7" t="s">
        <v>78</v>
      </c>
      <c r="U7" t="s">
        <v>80</v>
      </c>
      <c r="V7" t="s">
        <v>114</v>
      </c>
      <c r="W7" t="s">
        <v>79</v>
      </c>
    </row>
    <row r="8" spans="1:35" x14ac:dyDescent="0.15">
      <c r="A8" t="s">
        <v>3</v>
      </c>
      <c r="B8" s="2" t="s">
        <v>14</v>
      </c>
      <c r="C8" s="22">
        <f>EXP(D8)</f>
        <v>11000000.000000015</v>
      </c>
      <c r="D8" s="5">
        <f>W8</f>
        <v>16.213405830762646</v>
      </c>
      <c r="E8" s="33">
        <v>1</v>
      </c>
      <c r="F8" s="33">
        <v>1</v>
      </c>
      <c r="G8" s="33">
        <v>-1</v>
      </c>
      <c r="H8" s="33">
        <v>0</v>
      </c>
      <c r="I8" s="33">
        <v>0</v>
      </c>
      <c r="J8" s="33">
        <v>0</v>
      </c>
      <c r="K8" s="33">
        <v>0</v>
      </c>
      <c r="L8" s="34">
        <v>0</v>
      </c>
      <c r="M8" s="33">
        <v>-1</v>
      </c>
      <c r="N8">
        <f>LOG10(C8)</f>
        <v>7.0413926851582254</v>
      </c>
      <c r="P8">
        <f>SUMPRODUCT(E8:M8,$E$3:$M$3)</f>
        <v>53.400000000000006</v>
      </c>
      <c r="Q8" s="22">
        <v>11000000</v>
      </c>
      <c r="R8">
        <f>LN(Q8)</f>
        <v>16.213405830762646</v>
      </c>
      <c r="T8">
        <v>298.14999999999998</v>
      </c>
      <c r="U8">
        <f>$U$1+273.15</f>
        <v>298.14999999999998</v>
      </c>
      <c r="V8">
        <f>(P8/0.008314)*(1/U8-1/T8)</f>
        <v>0</v>
      </c>
      <c r="W8" s="35">
        <f>R8-V8</f>
        <v>16.213405830762646</v>
      </c>
      <c r="AD8" t="s">
        <v>107</v>
      </c>
    </row>
    <row r="9" spans="1:35" x14ac:dyDescent="0.15">
      <c r="A9" t="s">
        <v>4</v>
      </c>
      <c r="B9" s="2" t="s">
        <v>15</v>
      </c>
      <c r="C9" s="22">
        <f t="shared" ref="C9:C12" si="0">EXP(D9)</f>
        <v>42000000.000000037</v>
      </c>
      <c r="D9" s="5">
        <f t="shared" ref="D9:D12" si="1">W9</f>
        <v>17.553180176247643</v>
      </c>
      <c r="E9" s="33">
        <v>1</v>
      </c>
      <c r="F9" s="33">
        <v>0</v>
      </c>
      <c r="G9" s="33">
        <v>0</v>
      </c>
      <c r="H9" s="33">
        <v>1</v>
      </c>
      <c r="I9" s="33">
        <v>-1</v>
      </c>
      <c r="J9" s="33">
        <v>0</v>
      </c>
      <c r="K9" s="33">
        <v>0</v>
      </c>
      <c r="L9" s="34">
        <v>0</v>
      </c>
      <c r="M9" s="33">
        <v>0</v>
      </c>
      <c r="N9">
        <f>LOG10(C9)</f>
        <v>7.6232492903979008</v>
      </c>
      <c r="P9">
        <f t="shared" ref="P9:P12" si="2">SUMPRODUCT(E9:M9,$E$3:$M$3)</f>
        <v>69</v>
      </c>
      <c r="Q9" s="22">
        <v>42000000</v>
      </c>
      <c r="R9">
        <f>LN(Q9)</f>
        <v>17.553180176247643</v>
      </c>
      <c r="T9">
        <v>298.14999999999998</v>
      </c>
      <c r="U9">
        <f t="shared" ref="U9:U12" si="3">$U$1+273.15</f>
        <v>298.14999999999998</v>
      </c>
      <c r="V9">
        <f t="shared" ref="V9:V12" si="4">(P9/0.008314)*(1/U9-1/T9)</f>
        <v>0</v>
      </c>
      <c r="W9" s="35">
        <f t="shared" ref="W9:W12" si="5">R9-V9</f>
        <v>17.553180176247643</v>
      </c>
      <c r="AD9">
        <f>1/T4</f>
        <v>28.571428571428569</v>
      </c>
      <c r="AE9" t="s">
        <v>108</v>
      </c>
    </row>
    <row r="10" spans="1:35" x14ac:dyDescent="0.15">
      <c r="A10" t="s">
        <v>5</v>
      </c>
      <c r="B10" s="2" t="s">
        <v>16</v>
      </c>
      <c r="C10" s="22">
        <f t="shared" si="0"/>
        <v>4800.0000000000009</v>
      </c>
      <c r="D10" s="5">
        <f t="shared" si="1"/>
        <v>8.4763711968959825</v>
      </c>
      <c r="E10" s="33">
        <v>1</v>
      </c>
      <c r="F10" s="33">
        <v>0</v>
      </c>
      <c r="G10" s="33">
        <v>0</v>
      </c>
      <c r="H10" s="33">
        <v>0</v>
      </c>
      <c r="I10" s="33">
        <v>1</v>
      </c>
      <c r="J10" s="33">
        <v>-1</v>
      </c>
      <c r="K10" s="33">
        <v>0</v>
      </c>
      <c r="L10" s="34">
        <v>0</v>
      </c>
      <c r="M10" s="33">
        <v>-1</v>
      </c>
      <c r="N10">
        <f>LOG10(C10)</f>
        <v>3.6812412373755872</v>
      </c>
      <c r="P10">
        <f t="shared" si="2"/>
        <v>41</v>
      </c>
      <c r="Q10" s="22">
        <v>4800</v>
      </c>
      <c r="R10">
        <f>LN(Q10)</f>
        <v>8.4763711968959825</v>
      </c>
      <c r="T10">
        <v>298.14999999999998</v>
      </c>
      <c r="U10">
        <f t="shared" si="3"/>
        <v>298.14999999999998</v>
      </c>
      <c r="V10">
        <f t="shared" si="4"/>
        <v>0</v>
      </c>
      <c r="W10" s="35">
        <f t="shared" si="5"/>
        <v>8.4763711968959825</v>
      </c>
      <c r="AD10">
        <f>AD9/10</f>
        <v>2.8571428571428568</v>
      </c>
      <c r="AE10" t="s">
        <v>109</v>
      </c>
    </row>
    <row r="11" spans="1:35" x14ac:dyDescent="0.15">
      <c r="A11" t="s">
        <v>6</v>
      </c>
      <c r="B11" s="2" t="s">
        <v>17</v>
      </c>
      <c r="C11" s="22">
        <f t="shared" si="0"/>
        <v>100000000000000.12</v>
      </c>
      <c r="D11" s="5">
        <f t="shared" si="1"/>
        <v>32.236191301916641</v>
      </c>
      <c r="E11" s="33">
        <v>1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1</v>
      </c>
      <c r="L11" s="34">
        <v>0</v>
      </c>
      <c r="M11" s="33">
        <v>-1</v>
      </c>
      <c r="N11">
        <f>LOG10(C11)</f>
        <v>14</v>
      </c>
      <c r="P11">
        <f t="shared" si="2"/>
        <v>56</v>
      </c>
      <c r="Q11" s="22">
        <v>100000000000000</v>
      </c>
      <c r="R11">
        <f>LN(Q11)</f>
        <v>32.236191301916641</v>
      </c>
      <c r="T11">
        <v>298.14999999999998</v>
      </c>
      <c r="U11">
        <f t="shared" si="3"/>
        <v>298.14999999999998</v>
      </c>
      <c r="V11">
        <f t="shared" si="4"/>
        <v>0</v>
      </c>
      <c r="W11" s="35">
        <f t="shared" si="5"/>
        <v>32.236191301916641</v>
      </c>
      <c r="AD11">
        <f>AD10/AG12</f>
        <v>158.73015873015873</v>
      </c>
      <c r="AE11" t="s">
        <v>113</v>
      </c>
      <c r="AF11" t="s">
        <v>110</v>
      </c>
      <c r="AG11">
        <f>1000/18</f>
        <v>55.555555555555557</v>
      </c>
      <c r="AH11" t="s">
        <v>111</v>
      </c>
    </row>
    <row r="12" spans="1:35" x14ac:dyDescent="0.15">
      <c r="A12" t="s">
        <v>55</v>
      </c>
      <c r="B12" s="2" t="s">
        <v>56</v>
      </c>
      <c r="C12" s="22">
        <f t="shared" si="0"/>
        <v>1</v>
      </c>
      <c r="D12" s="5">
        <f t="shared" si="1"/>
        <v>0</v>
      </c>
      <c r="E12" s="33">
        <v>1</v>
      </c>
      <c r="F12" s="33">
        <v>0</v>
      </c>
      <c r="G12" s="33">
        <v>1</v>
      </c>
      <c r="H12" s="33">
        <v>0</v>
      </c>
      <c r="I12" s="33">
        <v>0</v>
      </c>
      <c r="J12" s="33">
        <v>0</v>
      </c>
      <c r="K12" s="33">
        <v>0</v>
      </c>
      <c r="L12" s="33">
        <v>-1</v>
      </c>
      <c r="M12" s="33">
        <v>-1</v>
      </c>
      <c r="N12">
        <f>LOG10(C12)</f>
        <v>0</v>
      </c>
      <c r="P12">
        <f t="shared" si="2"/>
        <v>5</v>
      </c>
      <c r="Q12" s="22">
        <v>1</v>
      </c>
      <c r="R12">
        <f>LN(Q12)</f>
        <v>0</v>
      </c>
      <c r="T12">
        <v>298.14999999999998</v>
      </c>
      <c r="U12">
        <f t="shared" si="3"/>
        <v>298.14999999999998</v>
      </c>
      <c r="V12">
        <f t="shared" si="4"/>
        <v>0</v>
      </c>
      <c r="W12" s="35">
        <f t="shared" si="5"/>
        <v>0</v>
      </c>
      <c r="AF12">
        <v>1</v>
      </c>
      <c r="AG12">
        <f>1/AG11</f>
        <v>1.7999999999999999E-2</v>
      </c>
      <c r="AH12" t="s">
        <v>112</v>
      </c>
    </row>
    <row r="13" spans="1:35" x14ac:dyDescent="0.15">
      <c r="A13" s="9" t="s">
        <v>29</v>
      </c>
      <c r="D13" t="s">
        <v>63</v>
      </c>
      <c r="E13" s="24">
        <f>E16/E15</f>
        <v>0</v>
      </c>
      <c r="F13" s="24">
        <f t="shared" ref="F13:L13" si="6">F16/F15</f>
        <v>8.0000000000000015E-8</v>
      </c>
      <c r="G13" s="24">
        <f t="shared" si="6"/>
        <v>0</v>
      </c>
      <c r="H13" s="24">
        <f t="shared" si="6"/>
        <v>2.8000000000000003E-4</v>
      </c>
      <c r="I13" s="24">
        <f t="shared" si="6"/>
        <v>0</v>
      </c>
      <c r="J13" s="24">
        <f t="shared" si="6"/>
        <v>0</v>
      </c>
      <c r="K13" s="24">
        <f t="shared" si="6"/>
        <v>0</v>
      </c>
      <c r="L13" s="24">
        <f t="shared" si="6"/>
        <v>0</v>
      </c>
    </row>
    <row r="14" spans="1:35" x14ac:dyDescent="0.15">
      <c r="B14" s="2"/>
      <c r="C14" s="2"/>
      <c r="D14" s="2"/>
      <c r="E14" s="3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35" x14ac:dyDescent="0.15">
      <c r="B15" s="2"/>
      <c r="C15" s="2"/>
      <c r="D15" s="2" t="s">
        <v>53</v>
      </c>
      <c r="E15" s="21">
        <v>1</v>
      </c>
      <c r="F15" s="21">
        <f>E15</f>
        <v>1</v>
      </c>
      <c r="G15" s="21">
        <f>F15</f>
        <v>1</v>
      </c>
      <c r="H15" s="21">
        <f>G15</f>
        <v>1</v>
      </c>
      <c r="I15" s="21">
        <f>H15</f>
        <v>1</v>
      </c>
      <c r="J15" s="21">
        <f>I15</f>
        <v>1</v>
      </c>
      <c r="K15" s="21">
        <f t="shared" ref="K15:L15" si="7">J15</f>
        <v>1</v>
      </c>
      <c r="L15" s="21">
        <f t="shared" si="7"/>
        <v>1</v>
      </c>
      <c r="M15" s="2"/>
      <c r="N15" s="2"/>
      <c r="O15" s="2"/>
      <c r="P15" s="2"/>
      <c r="Q15" s="2"/>
      <c r="R15" s="2"/>
      <c r="S15" s="2" t="s">
        <v>125</v>
      </c>
    </row>
    <row r="16" spans="1:35" x14ac:dyDescent="0.15">
      <c r="A16" s="9" t="s">
        <v>47</v>
      </c>
      <c r="B16" s="2"/>
      <c r="C16" s="2"/>
      <c r="D16" s="2" t="s">
        <v>54</v>
      </c>
      <c r="E16" s="21">
        <v>0</v>
      </c>
      <c r="F16" s="21">
        <f>AI5</f>
        <v>8.0000000000000015E-8</v>
      </c>
      <c r="G16" s="21">
        <v>0</v>
      </c>
      <c r="H16" s="21">
        <f>AI4</f>
        <v>2.8000000000000003E-4</v>
      </c>
      <c r="I16" s="21">
        <v>0</v>
      </c>
      <c r="J16" s="21">
        <v>0</v>
      </c>
      <c r="K16" s="26">
        <v>0</v>
      </c>
      <c r="L16" s="21">
        <v>0</v>
      </c>
      <c r="M16" s="2"/>
      <c r="N16" s="2"/>
      <c r="O16" s="2"/>
      <c r="P16" s="2"/>
      <c r="Q16" s="2"/>
      <c r="R16" s="2"/>
      <c r="S16" s="2"/>
    </row>
    <row r="17" spans="1:50" x14ac:dyDescent="0.15">
      <c r="A17" s="9" t="s">
        <v>48</v>
      </c>
      <c r="B17" s="2"/>
      <c r="C17" s="2"/>
      <c r="D17" s="2"/>
      <c r="E17" s="3"/>
      <c r="F17" s="3"/>
      <c r="G17" s="3"/>
      <c r="H17" s="3"/>
      <c r="I17" s="2"/>
      <c r="J17" s="2"/>
      <c r="K17" s="2" t="s">
        <v>73</v>
      </c>
      <c r="L17" s="2"/>
      <c r="M17" s="2"/>
      <c r="N17" s="2"/>
      <c r="O17" s="2"/>
      <c r="P17" s="2"/>
      <c r="Q17" s="2"/>
      <c r="R17" s="2"/>
      <c r="S17" s="2"/>
    </row>
    <row r="18" spans="1:50" x14ac:dyDescent="0.15">
      <c r="B18" s="9" t="s">
        <v>20</v>
      </c>
      <c r="J18" s="9" t="s">
        <v>21</v>
      </c>
      <c r="O18" s="9" t="s">
        <v>22</v>
      </c>
      <c r="X18" s="9" t="s">
        <v>23</v>
      </c>
      <c r="Y18" s="9"/>
    </row>
    <row r="19" spans="1:50" x14ac:dyDescent="0.15">
      <c r="B19" s="16" t="e">
        <f>B20/E13</f>
        <v>#DIV/0!</v>
      </c>
      <c r="D19" s="16">
        <f>D20/F13</f>
        <v>1.0235099299991111E-2</v>
      </c>
      <c r="F19" s="5">
        <f>G20/F20</f>
        <v>4.5124101129394803E-6</v>
      </c>
      <c r="G19" t="s">
        <v>62</v>
      </c>
      <c r="H19" s="5">
        <f>-LOG(H20)</f>
        <v>4.9731673266723817</v>
      </c>
      <c r="I19" s="16">
        <f>I20/F13</f>
        <v>9.6266838625038755E-12</v>
      </c>
      <c r="O19">
        <f t="shared" ref="O19:V19" si="8">EXP(O20)</f>
        <v>9.400854405850038E-10</v>
      </c>
      <c r="P19">
        <f t="shared" si="8"/>
        <v>7.9181192055217728E-8</v>
      </c>
      <c r="Q19">
        <f t="shared" si="8"/>
        <v>8.1880794401202792E-10</v>
      </c>
      <c r="R19">
        <f t="shared" si="8"/>
        <v>2.6936447588478619E-4</v>
      </c>
      <c r="S19">
        <f t="shared" si="8"/>
        <v>1.06354761235841E-5</v>
      </c>
      <c r="T19">
        <f t="shared" si="8"/>
        <v>4.7991630035859563E-11</v>
      </c>
      <c r="U19">
        <f t="shared" si="8"/>
        <v>1.0637331000230302E-5</v>
      </c>
      <c r="V19">
        <f t="shared" si="8"/>
        <v>7.6974942680105382E-19</v>
      </c>
    </row>
    <row r="20" spans="1:50" x14ac:dyDescent="0.15">
      <c r="A20" s="9" t="s">
        <v>75</v>
      </c>
      <c r="B20" s="29">
        <v>9.4008544058599104E-10</v>
      </c>
      <c r="C20" s="29">
        <v>7.9181192055230566E-8</v>
      </c>
      <c r="D20" s="29">
        <v>8.1880794399928903E-10</v>
      </c>
      <c r="E20" s="29">
        <v>2.6936447588478591E-4</v>
      </c>
      <c r="F20" s="29">
        <v>1.0635476123584082E-5</v>
      </c>
      <c r="G20" s="29">
        <v>4.7991630015987189E-11</v>
      </c>
      <c r="H20" s="29">
        <v>1.063733100023027E-5</v>
      </c>
      <c r="I20" s="29">
        <v>7.7013470900031014E-19</v>
      </c>
      <c r="J20" s="29">
        <v>8.1880794476942995E-10</v>
      </c>
      <c r="K20" s="29">
        <v>1.0635524115214134E-5</v>
      </c>
      <c r="L20" s="29">
        <v>4.7991630015987189E-11</v>
      </c>
      <c r="M20" s="29">
        <v>-1.063733100023027E-5</v>
      </c>
      <c r="N20" s="29">
        <v>7.7013470900031014E-19</v>
      </c>
      <c r="O20" s="29">
        <v>-20.785050350555764</v>
      </c>
      <c r="P20" s="29">
        <v>-16.351527040377739</v>
      </c>
      <c r="Q20" s="29">
        <v>-20.923171560170857</v>
      </c>
      <c r="R20" s="29">
        <v>-8.2194451665106261</v>
      </c>
      <c r="S20" s="29">
        <v>-11.451315340818748</v>
      </c>
      <c r="T20" s="29">
        <v>-23.759994494478541</v>
      </c>
      <c r="U20" s="29">
        <v>-11.451140951360873</v>
      </c>
      <c r="V20" s="29">
        <v>-41.708221910726614</v>
      </c>
      <c r="AB20" s="2" t="s">
        <v>44</v>
      </c>
      <c r="AR20" s="9"/>
    </row>
    <row r="21" spans="1:50" x14ac:dyDescent="0.15"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  <c r="H21" s="2" t="s">
        <v>13</v>
      </c>
      <c r="I21" t="s">
        <v>57</v>
      </c>
      <c r="J21" s="2" t="s">
        <v>14</v>
      </c>
      <c r="K21" s="2" t="s">
        <v>15</v>
      </c>
      <c r="L21" s="2" t="s">
        <v>16</v>
      </c>
      <c r="M21" s="2" t="s">
        <v>17</v>
      </c>
      <c r="N21" t="s">
        <v>56</v>
      </c>
      <c r="O21" s="2" t="s">
        <v>7</v>
      </c>
      <c r="P21" s="2" t="s">
        <v>8</v>
      </c>
      <c r="Q21" s="2" t="s">
        <v>9</v>
      </c>
      <c r="R21" s="2" t="s">
        <v>10</v>
      </c>
      <c r="S21" s="2" t="s">
        <v>11</v>
      </c>
      <c r="T21" s="2" t="s">
        <v>12</v>
      </c>
      <c r="U21" s="2" t="s">
        <v>13</v>
      </c>
      <c r="V21" t="s">
        <v>57</v>
      </c>
      <c r="X21" t="s">
        <v>30</v>
      </c>
      <c r="Y21" s="2"/>
      <c r="Z21" s="2"/>
      <c r="AA21" s="2"/>
      <c r="AB21" s="2" t="s">
        <v>7</v>
      </c>
      <c r="AC21" s="2" t="s">
        <v>8</v>
      </c>
      <c r="AD21" s="2" t="s">
        <v>9</v>
      </c>
      <c r="AE21" s="2" t="s">
        <v>10</v>
      </c>
      <c r="AF21" s="2" t="s">
        <v>11</v>
      </c>
      <c r="AG21" s="2" t="s">
        <v>12</v>
      </c>
      <c r="AH21" s="2" t="s">
        <v>13</v>
      </c>
      <c r="AI21" t="s">
        <v>57</v>
      </c>
      <c r="AJ21" s="2" t="s">
        <v>14</v>
      </c>
      <c r="AK21" s="2" t="s">
        <v>15</v>
      </c>
      <c r="AL21" s="2" t="s">
        <v>16</v>
      </c>
      <c r="AM21" s="2" t="s">
        <v>17</v>
      </c>
      <c r="AN21" t="s">
        <v>56</v>
      </c>
      <c r="AO21" s="2" t="s">
        <v>7</v>
      </c>
      <c r="AP21" s="2" t="s">
        <v>8</v>
      </c>
      <c r="AQ21" s="2" t="s">
        <v>9</v>
      </c>
      <c r="AR21" s="2" t="s">
        <v>10</v>
      </c>
      <c r="AS21" s="2" t="s">
        <v>11</v>
      </c>
      <c r="AT21" s="2" t="s">
        <v>12</v>
      </c>
      <c r="AU21" s="2" t="s">
        <v>13</v>
      </c>
      <c r="AV21" t="s">
        <v>57</v>
      </c>
      <c r="AX21" t="s">
        <v>61</v>
      </c>
    </row>
    <row r="22" spans="1:50" x14ac:dyDescent="0.15">
      <c r="A22" t="s">
        <v>24</v>
      </c>
      <c r="B22" s="2">
        <v>1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19">
        <f t="array" ref="J22:N29">TRANSPOSE(E8:L12)</f>
        <v>1</v>
      </c>
      <c r="K22" s="19">
        <v>1</v>
      </c>
      <c r="L22" s="19">
        <v>1</v>
      </c>
      <c r="M22" s="19">
        <v>1</v>
      </c>
      <c r="N22" s="19">
        <v>1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X22" s="20">
        <f t="array" ref="X22:X29">TRANSPOSE(E13:L13)</f>
        <v>0</v>
      </c>
      <c r="Y22" s="2"/>
      <c r="AB22">
        <f t="array" ref="AB22:AV42">MINVERSE(B22:V42)</f>
        <v>4.5043168908963512E-5</v>
      </c>
      <c r="AC22">
        <v>-4.6102130744386793E-7</v>
      </c>
      <c r="AD22">
        <v>4.4582147601519156E-5</v>
      </c>
      <c r="AE22">
        <v>-1.7109281101863503E-6</v>
      </c>
      <c r="AF22">
        <v>4.3332240798789136E-5</v>
      </c>
      <c r="AG22">
        <v>8.8375409707752649E-5</v>
      </c>
      <c r="AH22">
        <v>-4.5043168908963512E-5</v>
      </c>
      <c r="AI22">
        <v>8.9625316510355546E-5</v>
      </c>
      <c r="AJ22">
        <v>-3.6504216686351492E-14</v>
      </c>
      <c r="AK22">
        <v>-4.6086325367693487E-10</v>
      </c>
      <c r="AL22">
        <v>-4.24127996700006E-15</v>
      </c>
      <c r="AM22">
        <v>-4.7913909698400186E-10</v>
      </c>
      <c r="AN22">
        <v>-6.8989818019492432E-23</v>
      </c>
      <c r="AO22">
        <v>0.99995495683109104</v>
      </c>
      <c r="AP22">
        <v>4.6102130744386793E-7</v>
      </c>
      <c r="AQ22">
        <v>-4.4582147601519156E-5</v>
      </c>
      <c r="AR22">
        <v>1.7109281101863503E-6</v>
      </c>
      <c r="AS22">
        <v>-4.3332240798789136E-5</v>
      </c>
      <c r="AT22">
        <v>-8.8375409707752649E-5</v>
      </c>
      <c r="AU22">
        <v>4.5043168908963512E-5</v>
      </c>
      <c r="AV22">
        <v>-8.9625316510355546E-5</v>
      </c>
      <c r="AX22">
        <f t="array" ref="AX22:AX42">MMULT(AB22:AV42,X22:X42)</f>
        <v>9.4008544058540623E-10</v>
      </c>
    </row>
    <row r="23" spans="1:50" x14ac:dyDescent="0.15">
      <c r="A23" t="s">
        <v>25</v>
      </c>
      <c r="B23" s="2">
        <v>0</v>
      </c>
      <c r="C23" s="2">
        <v>1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19">
        <v>1</v>
      </c>
      <c r="K23" s="19">
        <v>0</v>
      </c>
      <c r="L23" s="19">
        <v>0</v>
      </c>
      <c r="M23" s="19">
        <v>0</v>
      </c>
      <c r="N23" s="19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X23" s="20">
        <v>8.0000000000000015E-8</v>
      </c>
      <c r="AB23">
        <v>-3.8830743579562031E-5</v>
      </c>
      <c r="AC23">
        <v>0.98976529812674507</v>
      </c>
      <c r="AD23">
        <v>0.98972646738316539</v>
      </c>
      <c r="AE23">
        <v>1.4749541903668522E-6</v>
      </c>
      <c r="AF23">
        <v>-3.7355789389179393E-5</v>
      </c>
      <c r="AG23">
        <v>-7.6186532968796936E-5</v>
      </c>
      <c r="AH23">
        <v>3.8830743579562031E-5</v>
      </c>
      <c r="AI23">
        <v>0.98968763663958559</v>
      </c>
      <c r="AJ23">
        <v>-8.1039589465410463E-10</v>
      </c>
      <c r="AK23">
        <v>3.973002624421475E-10</v>
      </c>
      <c r="AL23">
        <v>3.6563159089077749E-15</v>
      </c>
      <c r="AM23">
        <v>4.1305547244149999E-10</v>
      </c>
      <c r="AN23">
        <v>-7.6181742940810512E-19</v>
      </c>
      <c r="AO23">
        <v>3.8830743579562031E-5</v>
      </c>
      <c r="AP23">
        <v>1.0234701873254969E-2</v>
      </c>
      <c r="AQ23">
        <v>-0.98972646738316539</v>
      </c>
      <c r="AR23">
        <v>-1.4749541903668522E-6</v>
      </c>
      <c r="AS23">
        <v>3.7355789389179393E-5</v>
      </c>
      <c r="AT23">
        <v>7.6186532968796936E-5</v>
      </c>
      <c r="AU23">
        <v>-3.8830743579562031E-5</v>
      </c>
      <c r="AV23">
        <v>-0.98968763663958559</v>
      </c>
      <c r="AX23">
        <v>7.9181192055231215E-8</v>
      </c>
    </row>
    <row r="24" spans="1:50" x14ac:dyDescent="0.15">
      <c r="A24" t="s">
        <v>26</v>
      </c>
      <c r="B24" s="2">
        <v>0</v>
      </c>
      <c r="C24" s="2">
        <v>0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19">
        <v>-1</v>
      </c>
      <c r="K24" s="19">
        <v>0</v>
      </c>
      <c r="L24" s="19">
        <v>0</v>
      </c>
      <c r="M24" s="19">
        <v>0</v>
      </c>
      <c r="N24" s="19">
        <v>1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X24" s="20">
        <v>0</v>
      </c>
      <c r="AB24">
        <v>3.8830743506175043E-5</v>
      </c>
      <c r="AC24">
        <v>1.0234701863633913E-2</v>
      </c>
      <c r="AD24">
        <v>1.0273532607140163E-2</v>
      </c>
      <c r="AE24">
        <v>-1.4749541875793218E-6</v>
      </c>
      <c r="AF24">
        <v>3.7355789318581501E-5</v>
      </c>
      <c r="AG24">
        <v>7.6186532824812055E-5</v>
      </c>
      <c r="AH24">
        <v>-3.8830743506175043E-5</v>
      </c>
      <c r="AI24">
        <v>1.0312363350646447E-2</v>
      </c>
      <c r="AJ24">
        <v>8.1039589389229714E-10</v>
      </c>
      <c r="AK24">
        <v>-3.9730026169129684E-10</v>
      </c>
      <c r="AL24">
        <v>-3.6563158970237992E-15</v>
      </c>
      <c r="AM24">
        <v>-4.1305547166089115E-10</v>
      </c>
      <c r="AN24">
        <v>-7.9379978678100919E-21</v>
      </c>
      <c r="AO24">
        <v>-3.8830743506175043E-5</v>
      </c>
      <c r="AP24">
        <v>-1.0234701863633913E-2</v>
      </c>
      <c r="AQ24">
        <v>0.98972646739285985</v>
      </c>
      <c r="AR24">
        <v>1.4749541875793218E-6</v>
      </c>
      <c r="AS24">
        <v>-3.7355789318581501E-5</v>
      </c>
      <c r="AT24">
        <v>-7.6186532824812055E-5</v>
      </c>
      <c r="AU24">
        <v>3.8830743506175043E-5</v>
      </c>
      <c r="AV24">
        <v>-1.0312363350646447E-2</v>
      </c>
      <c r="AX24">
        <v>8.1880794399804578E-10</v>
      </c>
    </row>
    <row r="25" spans="1:50" x14ac:dyDescent="0.15">
      <c r="A25" t="s">
        <v>27</v>
      </c>
      <c r="B25" s="2">
        <v>0</v>
      </c>
      <c r="C25" s="2">
        <v>0</v>
      </c>
      <c r="D25" s="2">
        <v>0</v>
      </c>
      <c r="E25" s="2">
        <v>1</v>
      </c>
      <c r="F25" s="2">
        <v>0</v>
      </c>
      <c r="G25" s="2">
        <v>0</v>
      </c>
      <c r="H25" s="2">
        <v>0</v>
      </c>
      <c r="I25" s="2">
        <v>0</v>
      </c>
      <c r="J25" s="19">
        <v>0</v>
      </c>
      <c r="K25" s="19">
        <v>1</v>
      </c>
      <c r="L25" s="19">
        <v>0</v>
      </c>
      <c r="M25" s="19">
        <v>0</v>
      </c>
      <c r="N25" s="19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X25" s="20">
        <v>2.8000000000000003E-4</v>
      </c>
      <c r="AB25">
        <v>-0.49023549752044004</v>
      </c>
      <c r="AC25">
        <v>5.017609007014201E-3</v>
      </c>
      <c r="AD25">
        <v>-0.48521788851342573</v>
      </c>
      <c r="AE25">
        <v>0.98063718167142544</v>
      </c>
      <c r="AF25">
        <v>0.49040168415098551</v>
      </c>
      <c r="AG25">
        <v>1.6618663054565741E-4</v>
      </c>
      <c r="AH25">
        <v>0.49023549752044004</v>
      </c>
      <c r="AI25">
        <v>-0.97545338603386555</v>
      </c>
      <c r="AJ25">
        <v>3.9730026244238624E-10</v>
      </c>
      <c r="AK25">
        <v>-5.2156554107288038E-6</v>
      </c>
      <c r="AL25">
        <v>-7.9755680983207051E-15</v>
      </c>
      <c r="AM25">
        <v>5.2147972551875021E-6</v>
      </c>
      <c r="AN25">
        <v>7.5086033145106573E-19</v>
      </c>
      <c r="AO25">
        <v>0.49023549752044004</v>
      </c>
      <c r="AP25">
        <v>-5.017609007014201E-3</v>
      </c>
      <c r="AQ25">
        <v>0.48521788851342573</v>
      </c>
      <c r="AR25">
        <v>1.9362818328574508E-2</v>
      </c>
      <c r="AS25">
        <v>-0.49040168415098551</v>
      </c>
      <c r="AT25">
        <v>-1.6618663054565741E-4</v>
      </c>
      <c r="AU25">
        <v>-0.49023549752044004</v>
      </c>
      <c r="AV25">
        <v>0.97545338603386555</v>
      </c>
      <c r="AX25">
        <v>2.6936447588478591E-4</v>
      </c>
    </row>
    <row r="26" spans="1:50" x14ac:dyDescent="0.15">
      <c r="A26" t="s">
        <v>28</v>
      </c>
      <c r="B26" s="2">
        <v>0</v>
      </c>
      <c r="C26" s="2">
        <v>0</v>
      </c>
      <c r="D26" s="2">
        <v>0</v>
      </c>
      <c r="E26" s="2">
        <v>0</v>
      </c>
      <c r="F26" s="2">
        <v>1</v>
      </c>
      <c r="G26" s="2">
        <v>0</v>
      </c>
      <c r="H26" s="2">
        <v>0</v>
      </c>
      <c r="I26" s="2">
        <v>0</v>
      </c>
      <c r="J26" s="19">
        <v>0</v>
      </c>
      <c r="K26" s="19">
        <v>-1</v>
      </c>
      <c r="L26" s="19">
        <v>1</v>
      </c>
      <c r="M26" s="19">
        <v>0</v>
      </c>
      <c r="N26" s="19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X26" s="20">
        <v>0</v>
      </c>
      <c r="AB26">
        <v>0.49023098593055281</v>
      </c>
      <c r="AC26">
        <v>-5.0175628304434334E-3</v>
      </c>
      <c r="AD26">
        <v>0.48521342310010906</v>
      </c>
      <c r="AE26">
        <v>1.9362818298965676E-2</v>
      </c>
      <c r="AF26">
        <v>0.5095938042295185</v>
      </c>
      <c r="AG26">
        <v>0.99982479016007098</v>
      </c>
      <c r="AH26">
        <v>-0.49023098593055281</v>
      </c>
      <c r="AI26">
        <v>0.97544440903066187</v>
      </c>
      <c r="AJ26">
        <v>-3.9729660612647321E-10</v>
      </c>
      <c r="AK26">
        <v>5.2156554027532364E-6</v>
      </c>
      <c r="AL26">
        <v>-4.7983221428516228E-11</v>
      </c>
      <c r="AM26">
        <v>-5.2147492639125339E-6</v>
      </c>
      <c r="AN26">
        <v>-7.5085597864359395E-19</v>
      </c>
      <c r="AO26">
        <v>-0.49023098593055281</v>
      </c>
      <c r="AP26">
        <v>5.0175628304434334E-3</v>
      </c>
      <c r="AQ26">
        <v>-0.48521342310010906</v>
      </c>
      <c r="AR26">
        <v>-1.9362818298965676E-2</v>
      </c>
      <c r="AS26">
        <v>0.49040619577048156</v>
      </c>
      <c r="AT26">
        <v>-0.99982479016007098</v>
      </c>
      <c r="AU26">
        <v>0.49023098593055281</v>
      </c>
      <c r="AV26">
        <v>-0.97544440903066187</v>
      </c>
      <c r="AX26">
        <v>1.0635476123584082E-5</v>
      </c>
    </row>
    <row r="27" spans="1:50" x14ac:dyDescent="0.15">
      <c r="A27" t="s">
        <v>31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1</v>
      </c>
      <c r="H27" s="2">
        <v>0</v>
      </c>
      <c r="I27" s="2">
        <v>0</v>
      </c>
      <c r="J27" s="19">
        <v>0</v>
      </c>
      <c r="K27" s="19">
        <v>0</v>
      </c>
      <c r="L27" s="19">
        <v>-1</v>
      </c>
      <c r="M27" s="19">
        <v>0</v>
      </c>
      <c r="N27" s="19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X27" s="20">
        <v>0</v>
      </c>
      <c r="AB27">
        <v>4.5115898872627458E-6</v>
      </c>
      <c r="AC27">
        <v>-4.6176570767629543E-8</v>
      </c>
      <c r="AD27">
        <v>4.4654133166954768E-6</v>
      </c>
      <c r="AE27">
        <v>2.9608832746719216E-11</v>
      </c>
      <c r="AF27">
        <v>4.5116194960503897E-6</v>
      </c>
      <c r="AG27">
        <v>9.0232093833408911E-6</v>
      </c>
      <c r="AH27">
        <v>-4.5115898872627458E-6</v>
      </c>
      <c r="AI27">
        <v>8.9770032036806668E-6</v>
      </c>
      <c r="AJ27">
        <v>-3.6563159130105166E-15</v>
      </c>
      <c r="AK27">
        <v>7.9755673636563995E-15</v>
      </c>
      <c r="AL27">
        <v>4.799119699661455E-11</v>
      </c>
      <c r="AM27">
        <v>-4.7991274968198162E-11</v>
      </c>
      <c r="AN27">
        <v>-4.35280747177418E-24</v>
      </c>
      <c r="AO27">
        <v>-4.5115898872627458E-6</v>
      </c>
      <c r="AP27">
        <v>4.6176570767629543E-8</v>
      </c>
      <c r="AQ27">
        <v>-4.4654133166954768E-6</v>
      </c>
      <c r="AR27">
        <v>-2.9608832746719216E-11</v>
      </c>
      <c r="AS27">
        <v>-4.5116194960503897E-6</v>
      </c>
      <c r="AT27">
        <v>0.99999097679061666</v>
      </c>
      <c r="AU27">
        <v>4.5115898872627458E-6</v>
      </c>
      <c r="AV27">
        <v>-8.9770032036806668E-6</v>
      </c>
      <c r="AX27">
        <v>4.7991630051082394E-11</v>
      </c>
    </row>
    <row r="28" spans="1:50" x14ac:dyDescent="0.15">
      <c r="A28" t="s">
        <v>32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19">
        <v>0</v>
      </c>
      <c r="K28" s="19">
        <v>0</v>
      </c>
      <c r="L28" s="19">
        <v>0</v>
      </c>
      <c r="M28" s="19">
        <v>1</v>
      </c>
      <c r="N28" s="19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X28" s="20">
        <v>0</v>
      </c>
      <c r="AB28">
        <v>-0.50967611697711079</v>
      </c>
      <c r="AC28">
        <v>5.2165856779836121E-3</v>
      </c>
      <c r="AD28">
        <v>-0.50445953129912702</v>
      </c>
      <c r="AE28">
        <v>1.935963247588E-2</v>
      </c>
      <c r="AF28">
        <v>-0.49031648450123089</v>
      </c>
      <c r="AG28">
        <v>-0.99999260147834179</v>
      </c>
      <c r="AH28">
        <v>0.50967611697711079</v>
      </c>
      <c r="AI28">
        <v>-1.014135648276238</v>
      </c>
      <c r="AJ28">
        <v>4.130554724409265E-10</v>
      </c>
      <c r="AK28">
        <v>5.2147972551875012E-6</v>
      </c>
      <c r="AL28">
        <v>4.7991274968825081E-11</v>
      </c>
      <c r="AM28">
        <v>-5.2157374410326765E-6</v>
      </c>
      <c r="AN28">
        <v>7.8063918260746333E-19</v>
      </c>
      <c r="AO28">
        <v>0.50967611697711079</v>
      </c>
      <c r="AP28">
        <v>-5.2165856779836121E-3</v>
      </c>
      <c r="AQ28">
        <v>0.50445953129912702</v>
      </c>
      <c r="AR28">
        <v>-1.935963247588E-2</v>
      </c>
      <c r="AS28">
        <v>0.49031648450123089</v>
      </c>
      <c r="AT28">
        <v>0.99999260147834179</v>
      </c>
      <c r="AU28">
        <v>0.49032388302288921</v>
      </c>
      <c r="AV28">
        <v>1.014135648276238</v>
      </c>
      <c r="AX28">
        <v>1.0637331000230283E-5</v>
      </c>
    </row>
    <row r="29" spans="1:50" x14ac:dyDescent="0.15">
      <c r="A29" t="s">
        <v>58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1</v>
      </c>
      <c r="J29" s="19">
        <v>0</v>
      </c>
      <c r="K29" s="19">
        <v>0</v>
      </c>
      <c r="L29" s="19">
        <v>0</v>
      </c>
      <c r="M29" s="19">
        <v>0</v>
      </c>
      <c r="N29" s="19">
        <v>-1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X29" s="20">
        <v>0</v>
      </c>
      <c r="AB29">
        <v>7.3386988760221206E-14</v>
      </c>
      <c r="AC29">
        <v>9.6210556882470044E-12</v>
      </c>
      <c r="AD29">
        <v>9.6944501037921071E-12</v>
      </c>
      <c r="AE29">
        <v>-2.7875303722723309E-15</v>
      </c>
      <c r="AF29">
        <v>7.0597892224029402E-14</v>
      </c>
      <c r="AG29">
        <v>1.4398488098425061E-13</v>
      </c>
      <c r="AH29">
        <v>-7.3386988760221206E-14</v>
      </c>
      <c r="AI29">
        <v>9.7679642152570523E-12</v>
      </c>
      <c r="AJ29">
        <v>7.6180749476719621E-19</v>
      </c>
      <c r="AK29">
        <v>-7.508506603733188E-19</v>
      </c>
      <c r="AL29">
        <v>-1.1883975755849228E-23</v>
      </c>
      <c r="AM29">
        <v>-7.8060884480143196E-19</v>
      </c>
      <c r="AN29">
        <v>7.6975542727591521E-19</v>
      </c>
      <c r="AO29">
        <v>-7.3386988760221206E-14</v>
      </c>
      <c r="AP29">
        <v>-9.6210556882470044E-12</v>
      </c>
      <c r="AQ29">
        <v>-9.6944501037921071E-12</v>
      </c>
      <c r="AR29">
        <v>2.7875303722723309E-15</v>
      </c>
      <c r="AS29">
        <v>-7.0597892224029402E-14</v>
      </c>
      <c r="AT29">
        <v>-1.4398488098425061E-13</v>
      </c>
      <c r="AU29">
        <v>7.3386988760221206E-14</v>
      </c>
      <c r="AV29">
        <v>0.99999999999023204</v>
      </c>
      <c r="AX29">
        <v>7.7075362650548738E-19</v>
      </c>
    </row>
    <row r="30" spans="1:50" x14ac:dyDescent="0.15">
      <c r="A30" t="s">
        <v>33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19">
        <f t="array" ref="O30:V34">-E8:L12</f>
        <v>-1</v>
      </c>
      <c r="P30" s="19">
        <v>-1</v>
      </c>
      <c r="Q30" s="19">
        <v>1</v>
      </c>
      <c r="R30" s="19">
        <v>0</v>
      </c>
      <c r="S30" s="19">
        <v>0</v>
      </c>
      <c r="T30" s="19">
        <v>0</v>
      </c>
      <c r="U30" s="19">
        <v>0</v>
      </c>
      <c r="V30" s="19">
        <v>0</v>
      </c>
      <c r="X30" s="20">
        <f t="array" ref="X30:X34">D8:D12</f>
        <v>16.213405830762646</v>
      </c>
      <c r="AB30">
        <v>3.8830743579562031E-5</v>
      </c>
      <c r="AC30">
        <v>1.0234701873254969E-2</v>
      </c>
      <c r="AD30">
        <v>-0.98972646738316539</v>
      </c>
      <c r="AE30">
        <v>-1.4749541903668522E-6</v>
      </c>
      <c r="AF30">
        <v>3.7355789389179393E-5</v>
      </c>
      <c r="AG30">
        <v>7.6186532968796936E-5</v>
      </c>
      <c r="AH30">
        <v>-3.8830743579562031E-5</v>
      </c>
      <c r="AI30">
        <v>-0.98968763663958559</v>
      </c>
      <c r="AJ30">
        <v>8.1039589465410463E-10</v>
      </c>
      <c r="AK30">
        <v>-3.973002624421475E-10</v>
      </c>
      <c r="AL30">
        <v>-3.6563159089077749E-15</v>
      </c>
      <c r="AM30">
        <v>-4.1305547244149999E-10</v>
      </c>
      <c r="AN30">
        <v>7.6181742940810512E-19</v>
      </c>
      <c r="AO30">
        <v>-3.8830743579562031E-5</v>
      </c>
      <c r="AP30">
        <v>-1.0234701873254969E-2</v>
      </c>
      <c r="AQ30">
        <v>0.98972646738316539</v>
      </c>
      <c r="AR30">
        <v>1.4749541903668522E-6</v>
      </c>
      <c r="AS30">
        <v>-3.7355789389179393E-5</v>
      </c>
      <c r="AT30">
        <v>-7.6186532968796936E-5</v>
      </c>
      <c r="AU30">
        <v>3.8830743579562031E-5</v>
      </c>
      <c r="AV30">
        <v>0.98968763663958559</v>
      </c>
      <c r="AX30">
        <v>8.1880794476879551E-10</v>
      </c>
    </row>
    <row r="31" spans="1:50" x14ac:dyDescent="0.15">
      <c r="A31" t="s">
        <v>34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19">
        <v>-1</v>
      </c>
      <c r="P31" s="19">
        <v>0</v>
      </c>
      <c r="Q31" s="19">
        <v>0</v>
      </c>
      <c r="R31" s="19">
        <v>-1</v>
      </c>
      <c r="S31" s="19">
        <v>1</v>
      </c>
      <c r="T31" s="19">
        <v>0</v>
      </c>
      <c r="U31" s="19">
        <v>0</v>
      </c>
      <c r="V31" s="19">
        <v>0</v>
      </c>
      <c r="X31" s="20">
        <v>17.553180176247643</v>
      </c>
      <c r="AB31">
        <v>0.49023549752044004</v>
      </c>
      <c r="AC31">
        <v>-5.017609007014201E-3</v>
      </c>
      <c r="AD31">
        <v>0.48521788851342573</v>
      </c>
      <c r="AE31">
        <v>1.9362818328574508E-2</v>
      </c>
      <c r="AF31">
        <v>-0.49040168415098551</v>
      </c>
      <c r="AG31">
        <v>-1.6618663054565741E-4</v>
      </c>
      <c r="AH31">
        <v>-0.49023549752044004</v>
      </c>
      <c r="AI31">
        <v>0.97545338603386555</v>
      </c>
      <c r="AJ31">
        <v>-3.9730026244238624E-10</v>
      </c>
      <c r="AK31">
        <v>5.2156554107288038E-6</v>
      </c>
      <c r="AL31">
        <v>7.9755680983207051E-15</v>
      </c>
      <c r="AM31">
        <v>-5.2147972551875021E-6</v>
      </c>
      <c r="AN31">
        <v>-7.5086033145106573E-19</v>
      </c>
      <c r="AO31">
        <v>-0.49023549752044004</v>
      </c>
      <c r="AP31">
        <v>5.017609007014201E-3</v>
      </c>
      <c r="AQ31">
        <v>-0.48521788851342573</v>
      </c>
      <c r="AR31">
        <v>-1.9362818328574508E-2</v>
      </c>
      <c r="AS31">
        <v>0.49040168415098551</v>
      </c>
      <c r="AT31">
        <v>1.6618663054565741E-4</v>
      </c>
      <c r="AU31">
        <v>0.49023549752044004</v>
      </c>
      <c r="AV31">
        <v>-0.97545338603386555</v>
      </c>
      <c r="AX31">
        <v>1.0635524115214147E-5</v>
      </c>
    </row>
    <row r="32" spans="1:50" x14ac:dyDescent="0.15">
      <c r="A32" t="s">
        <v>35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19">
        <v>-1</v>
      </c>
      <c r="P32" s="19">
        <v>0</v>
      </c>
      <c r="Q32" s="19">
        <v>0</v>
      </c>
      <c r="R32" s="19">
        <v>0</v>
      </c>
      <c r="S32" s="19">
        <v>-1</v>
      </c>
      <c r="T32" s="19">
        <v>1</v>
      </c>
      <c r="U32" s="19">
        <v>0</v>
      </c>
      <c r="V32" s="19">
        <v>0</v>
      </c>
      <c r="X32" s="20">
        <v>8.4763711968959825</v>
      </c>
      <c r="AB32">
        <v>4.5115898872627458E-6</v>
      </c>
      <c r="AC32">
        <v>-4.6176570767629543E-8</v>
      </c>
      <c r="AD32">
        <v>4.4654133166954768E-6</v>
      </c>
      <c r="AE32">
        <v>2.9608832746719216E-11</v>
      </c>
      <c r="AF32">
        <v>4.5116194960503897E-6</v>
      </c>
      <c r="AG32">
        <v>-0.99999097679061666</v>
      </c>
      <c r="AH32">
        <v>-4.5115898872627458E-6</v>
      </c>
      <c r="AI32">
        <v>8.9770032036806668E-6</v>
      </c>
      <c r="AJ32">
        <v>-3.6563159130105166E-15</v>
      </c>
      <c r="AK32">
        <v>7.9755673636563995E-15</v>
      </c>
      <c r="AL32">
        <v>4.799119699661455E-11</v>
      </c>
      <c r="AM32">
        <v>-4.7991274968198162E-11</v>
      </c>
      <c r="AN32">
        <v>-4.35280747177418E-24</v>
      </c>
      <c r="AO32">
        <v>-4.5115898872627458E-6</v>
      </c>
      <c r="AP32">
        <v>4.6176570767629543E-8</v>
      </c>
      <c r="AQ32">
        <v>-4.4654133166954768E-6</v>
      </c>
      <c r="AR32">
        <v>-2.9608832746719216E-11</v>
      </c>
      <c r="AS32">
        <v>-4.5116194960503897E-6</v>
      </c>
      <c r="AT32">
        <v>0.99999097679061666</v>
      </c>
      <c r="AU32">
        <v>4.5115898872627458E-6</v>
      </c>
      <c r="AV32">
        <v>-8.9770032036806668E-6</v>
      </c>
      <c r="AX32">
        <v>4.7991630051082394E-11</v>
      </c>
    </row>
    <row r="33" spans="1:50" x14ac:dyDescent="0.15">
      <c r="A33" t="s">
        <v>36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19">
        <v>-1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-1</v>
      </c>
      <c r="V33" s="19">
        <v>0</v>
      </c>
      <c r="X33" s="20">
        <v>32.236191301916641</v>
      </c>
      <c r="AB33">
        <v>0.50967611697711079</v>
      </c>
      <c r="AC33">
        <v>-5.2165856779836121E-3</v>
      </c>
      <c r="AD33">
        <v>0.50445953129912702</v>
      </c>
      <c r="AE33">
        <v>-1.935963247588E-2</v>
      </c>
      <c r="AF33">
        <v>0.49031648450123089</v>
      </c>
      <c r="AG33">
        <v>0.99999260147834179</v>
      </c>
      <c r="AH33">
        <v>0.49032388302288921</v>
      </c>
      <c r="AI33">
        <v>1.014135648276238</v>
      </c>
      <c r="AJ33">
        <v>-4.130554724409265E-10</v>
      </c>
      <c r="AK33">
        <v>-5.2147972551875012E-6</v>
      </c>
      <c r="AL33">
        <v>-4.7991274968825081E-11</v>
      </c>
      <c r="AM33">
        <v>5.2157374410326765E-6</v>
      </c>
      <c r="AN33">
        <v>-7.8063918260746333E-19</v>
      </c>
      <c r="AO33">
        <v>-0.50967611697711079</v>
      </c>
      <c r="AP33">
        <v>5.2165856779836121E-3</v>
      </c>
      <c r="AQ33">
        <v>-0.50445953129912702</v>
      </c>
      <c r="AR33">
        <v>1.935963247588E-2</v>
      </c>
      <c r="AS33">
        <v>-0.49031648450123089</v>
      </c>
      <c r="AT33">
        <v>-0.99999260147834179</v>
      </c>
      <c r="AU33">
        <v>-0.49032388302288921</v>
      </c>
      <c r="AV33">
        <v>-1.014135648276238</v>
      </c>
      <c r="AX33">
        <v>-1.0637331000230283E-5</v>
      </c>
    </row>
    <row r="34" spans="1:50" x14ac:dyDescent="0.15">
      <c r="A34" t="s">
        <v>59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19">
        <v>-1</v>
      </c>
      <c r="P34" s="19">
        <v>0</v>
      </c>
      <c r="Q34" s="19">
        <v>-1</v>
      </c>
      <c r="R34" s="19">
        <v>0</v>
      </c>
      <c r="S34" s="19">
        <v>0</v>
      </c>
      <c r="T34" s="19">
        <v>0</v>
      </c>
      <c r="U34" s="19">
        <v>0</v>
      </c>
      <c r="V34" s="19">
        <v>1</v>
      </c>
      <c r="X34" s="20">
        <v>0</v>
      </c>
      <c r="AB34">
        <v>7.3386988760221206E-14</v>
      </c>
      <c r="AC34">
        <v>9.6210556882470044E-12</v>
      </c>
      <c r="AD34">
        <v>9.6944501037921071E-12</v>
      </c>
      <c r="AE34">
        <v>-2.7875303722723309E-15</v>
      </c>
      <c r="AF34">
        <v>7.0597892224029402E-14</v>
      </c>
      <c r="AG34">
        <v>1.4398488098425061E-13</v>
      </c>
      <c r="AH34">
        <v>-7.3386988760221206E-14</v>
      </c>
      <c r="AI34">
        <v>-0.99999999999023204</v>
      </c>
      <c r="AJ34">
        <v>7.6180749476719621E-19</v>
      </c>
      <c r="AK34">
        <v>-7.508506603733188E-19</v>
      </c>
      <c r="AL34">
        <v>-1.1883975755849228E-23</v>
      </c>
      <c r="AM34">
        <v>-7.8060884480143196E-19</v>
      </c>
      <c r="AN34">
        <v>7.6975542727591521E-19</v>
      </c>
      <c r="AO34">
        <v>-7.3386988760221206E-14</v>
      </c>
      <c r="AP34">
        <v>-9.6210556882470044E-12</v>
      </c>
      <c r="AQ34">
        <v>-9.6944501037921071E-12</v>
      </c>
      <c r="AR34">
        <v>2.7875303722723309E-15</v>
      </c>
      <c r="AS34">
        <v>-7.0597892224029402E-14</v>
      </c>
      <c r="AT34">
        <v>-1.4398488098425061E-13</v>
      </c>
      <c r="AU34">
        <v>7.3386988760221206E-14</v>
      </c>
      <c r="AV34">
        <v>0.99999999999023204</v>
      </c>
      <c r="AX34">
        <v>7.7075362650548738E-19</v>
      </c>
    </row>
    <row r="35" spans="1:50" x14ac:dyDescent="0.15">
      <c r="A35" t="s">
        <v>37</v>
      </c>
      <c r="B35" s="2">
        <v>1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f>-EXP(O$20)</f>
        <v>-9.400854405850038E-10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X35" s="44">
        <f t="shared" ref="X35:X42" si="9">-SUM(O35:V35)*(1-LN(-SUM(O35:V35)))</f>
        <v>2.0479808656968707E-8</v>
      </c>
      <c r="AB35">
        <v>47913.90969840801</v>
      </c>
      <c r="AC35">
        <v>-490.40362454392016</v>
      </c>
      <c r="AD35">
        <v>47423.506073864177</v>
      </c>
      <c r="AE35">
        <v>-1819.970862565136</v>
      </c>
      <c r="AF35">
        <v>46093.938835842877</v>
      </c>
      <c r="AG35">
        <v>94007.848534250894</v>
      </c>
      <c r="AH35">
        <v>-47913.90969840801</v>
      </c>
      <c r="AI35">
        <v>95337.415772272274</v>
      </c>
      <c r="AJ35">
        <v>-3.8830743579576499E-5</v>
      </c>
      <c r="AK35">
        <v>-0.49023549752043999</v>
      </c>
      <c r="AL35">
        <v>-4.511589887361636E-6</v>
      </c>
      <c r="AM35">
        <v>-0.50967611697711068</v>
      </c>
      <c r="AN35">
        <v>-7.338675299194428E-14</v>
      </c>
      <c r="AO35">
        <v>-47913.90969840801</v>
      </c>
      <c r="AP35">
        <v>490.40362454392016</v>
      </c>
      <c r="AQ35">
        <v>-47423.506073864177</v>
      </c>
      <c r="AR35">
        <v>1819.970862565136</v>
      </c>
      <c r="AS35">
        <v>-46093.938835842877</v>
      </c>
      <c r="AT35">
        <v>-94007.848534250894</v>
      </c>
      <c r="AU35">
        <v>47913.90969840801</v>
      </c>
      <c r="AV35">
        <v>-95337.415772272274</v>
      </c>
      <c r="AX35">
        <v>-20.785050350555764</v>
      </c>
    </row>
    <row r="36" spans="1:50" x14ac:dyDescent="0.15">
      <c r="A36" t="s">
        <v>38</v>
      </c>
      <c r="B36" s="2">
        <v>0</v>
      </c>
      <c r="C36" s="2">
        <v>1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f>-EXP(P$20)</f>
        <v>-7.9181192055217728E-8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X36" s="44">
        <f t="shared" si="9"/>
        <v>1.3739145950354534E-6</v>
      </c>
      <c r="AB36">
        <v>-490.40362454370188</v>
      </c>
      <c r="AC36">
        <v>12500005.019329881</v>
      </c>
      <c r="AD36">
        <v>12499514.615705337</v>
      </c>
      <c r="AE36">
        <v>18.627582536757927</v>
      </c>
      <c r="AF36">
        <v>-471.7760420069244</v>
      </c>
      <c r="AG36">
        <v>-962.17966655062628</v>
      </c>
      <c r="AH36">
        <v>490.40362454370188</v>
      </c>
      <c r="AI36">
        <v>12499024.212080793</v>
      </c>
      <c r="AJ36">
        <v>-1.0234701873255047E-2</v>
      </c>
      <c r="AK36">
        <v>5.0176090070142565E-3</v>
      </c>
      <c r="AL36">
        <v>4.617657064769476E-8</v>
      </c>
      <c r="AM36">
        <v>5.2165856779836095E-3</v>
      </c>
      <c r="AN36">
        <v>-9.6211917203373851E-12</v>
      </c>
      <c r="AO36">
        <v>490.40362454370188</v>
      </c>
      <c r="AP36">
        <v>-12500005.019329881</v>
      </c>
      <c r="AQ36">
        <v>-12499514.615705337</v>
      </c>
      <c r="AR36">
        <v>-18.627582536757927</v>
      </c>
      <c r="AS36">
        <v>471.7760420069244</v>
      </c>
      <c r="AT36">
        <v>962.17966655062628</v>
      </c>
      <c r="AU36">
        <v>-490.40362454370188</v>
      </c>
      <c r="AV36">
        <v>-12499024.212080793</v>
      </c>
      <c r="AX36">
        <v>-16.351527040377746</v>
      </c>
    </row>
    <row r="37" spans="1:50" x14ac:dyDescent="0.15">
      <c r="A37" t="s">
        <v>39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f>-EXP(Q$20)</f>
        <v>-8.1880794401202792E-10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X37" s="44">
        <f t="shared" si="9"/>
        <v>1.7950867031406463E-8</v>
      </c>
      <c r="AB37">
        <v>47423.506073864308</v>
      </c>
      <c r="AC37">
        <v>12499514.615705337</v>
      </c>
      <c r="AD37">
        <v>12546938.121779202</v>
      </c>
      <c r="AE37">
        <v>-1801.3432800283781</v>
      </c>
      <c r="AF37">
        <v>45622.162793835952</v>
      </c>
      <c r="AG37">
        <v>93045.668867700268</v>
      </c>
      <c r="AH37">
        <v>-47423.506073864308</v>
      </c>
      <c r="AI37">
        <v>12594361.627853066</v>
      </c>
      <c r="AJ37">
        <v>0.98972646738316539</v>
      </c>
      <c r="AK37">
        <v>-0.48521788851342573</v>
      </c>
      <c r="AL37">
        <v>-4.4654133167139413E-6</v>
      </c>
      <c r="AM37">
        <v>-0.50445953129912713</v>
      </c>
      <c r="AN37">
        <v>-9.6945784733293294E-12</v>
      </c>
      <c r="AO37">
        <v>-47423.506073864308</v>
      </c>
      <c r="AP37">
        <v>-12499514.615705337</v>
      </c>
      <c r="AQ37">
        <v>-12546938.121779202</v>
      </c>
      <c r="AR37">
        <v>1801.3432800283781</v>
      </c>
      <c r="AS37">
        <v>-45622.162793835952</v>
      </c>
      <c r="AT37">
        <v>-93045.668867700268</v>
      </c>
      <c r="AU37">
        <v>47423.506073864308</v>
      </c>
      <c r="AV37">
        <v>-12594361.627853066</v>
      </c>
      <c r="AX37">
        <v>-20.923171560170861</v>
      </c>
    </row>
    <row r="38" spans="1:50" x14ac:dyDescent="0.15">
      <c r="A38" t="s">
        <v>40</v>
      </c>
      <c r="B38" s="2">
        <v>0</v>
      </c>
      <c r="C38" s="2">
        <v>0</v>
      </c>
      <c r="D38" s="2">
        <v>0</v>
      </c>
      <c r="E38" s="2">
        <v>1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f>-EXP(R$20)</f>
        <v>-2.6936447588478619E-4</v>
      </c>
      <c r="S38" s="2">
        <v>0</v>
      </c>
      <c r="T38" s="2">
        <v>0</v>
      </c>
      <c r="U38" s="2">
        <v>0</v>
      </c>
      <c r="V38" s="2">
        <v>0</v>
      </c>
      <c r="X38" s="44">
        <f>-SUM(O38:V38)*(1-LN(-SUM(O38:V38)))</f>
        <v>2.4833910152256603E-3</v>
      </c>
      <c r="AB38">
        <v>-1819.9708625651401</v>
      </c>
      <c r="AC38">
        <v>18.6275825367577</v>
      </c>
      <c r="AD38">
        <v>-1801.3432800283917</v>
      </c>
      <c r="AE38">
        <v>3640.5586833613061</v>
      </c>
      <c r="AF38">
        <v>1820.587820796165</v>
      </c>
      <c r="AG38">
        <v>0.61695823099580593</v>
      </c>
      <c r="AH38">
        <v>1819.9708625651401</v>
      </c>
      <c r="AI38">
        <v>-3621.3141425935319</v>
      </c>
      <c r="AJ38">
        <v>1.4749541903674051E-6</v>
      </c>
      <c r="AK38">
        <v>-1.936281832857464E-2</v>
      </c>
      <c r="AL38">
        <v>-2.9608648866030762E-11</v>
      </c>
      <c r="AM38">
        <v>1.9359632475879907E-2</v>
      </c>
      <c r="AN38">
        <v>2.7875649613712956E-15</v>
      </c>
      <c r="AO38">
        <v>1819.9708625651401</v>
      </c>
      <c r="AP38">
        <v>-18.6275825367577</v>
      </c>
      <c r="AQ38">
        <v>1801.3432800283917</v>
      </c>
      <c r="AR38">
        <v>-3640.5586833613061</v>
      </c>
      <c r="AS38">
        <v>-1820.587820796165</v>
      </c>
      <c r="AT38">
        <v>-0.61695823099580593</v>
      </c>
      <c r="AU38">
        <v>-1819.9708625651401</v>
      </c>
      <c r="AV38">
        <v>3621.3141425935319</v>
      </c>
      <c r="AX38">
        <v>-8.2194451665106314</v>
      </c>
    </row>
    <row r="39" spans="1:50" x14ac:dyDescent="0.15">
      <c r="A39" t="s">
        <v>41</v>
      </c>
      <c r="B39" s="2">
        <v>0</v>
      </c>
      <c r="C39" s="2">
        <v>0</v>
      </c>
      <c r="D39" s="2">
        <v>0</v>
      </c>
      <c r="E39" s="2">
        <v>0</v>
      </c>
      <c r="F39" s="2">
        <v>1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f>-EXP(S$20)</f>
        <v>-1.06354761235841E-5</v>
      </c>
      <c r="T39" s="2">
        <v>0</v>
      </c>
      <c r="U39" s="2">
        <v>0</v>
      </c>
      <c r="V39" s="2">
        <v>0</v>
      </c>
      <c r="X39" s="44">
        <f t="shared" si="9"/>
        <v>1.3242566701449424E-4</v>
      </c>
      <c r="AB39">
        <v>46093.93883584287</v>
      </c>
      <c r="AC39">
        <v>-471.7760420069057</v>
      </c>
      <c r="AD39">
        <v>45622.162793835938</v>
      </c>
      <c r="AE39">
        <v>1820.58782079617</v>
      </c>
      <c r="AF39">
        <v>47914.526656639042</v>
      </c>
      <c r="AG39">
        <v>94008.46549248189</v>
      </c>
      <c r="AH39">
        <v>-46093.93883584287</v>
      </c>
      <c r="AI39">
        <v>91716.101629678815</v>
      </c>
      <c r="AJ39">
        <v>-3.7355789389200034E-5</v>
      </c>
      <c r="AK39">
        <v>0.4904016841509854</v>
      </c>
      <c r="AL39">
        <v>-4.5116194960105021E-6</v>
      </c>
      <c r="AM39">
        <v>-0.49031648450123083</v>
      </c>
      <c r="AN39">
        <v>-7.0599188030573981E-14</v>
      </c>
      <c r="AO39">
        <v>-46093.93883584287</v>
      </c>
      <c r="AP39">
        <v>471.7760420069057</v>
      </c>
      <c r="AQ39">
        <v>-45622.162793835938</v>
      </c>
      <c r="AR39">
        <v>-1820.58782079617</v>
      </c>
      <c r="AS39">
        <v>-47914.526656639042</v>
      </c>
      <c r="AT39">
        <v>-94008.46549248189</v>
      </c>
      <c r="AU39">
        <v>46093.93883584287</v>
      </c>
      <c r="AV39">
        <v>-91716.101629678815</v>
      </c>
      <c r="AX39">
        <v>-11.45131534081875</v>
      </c>
    </row>
    <row r="40" spans="1:50" x14ac:dyDescent="0.15">
      <c r="A40" t="s">
        <v>42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1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f>-EXP(T$20)</f>
        <v>-4.7991630035859563E-11</v>
      </c>
      <c r="U40" s="2">
        <v>0</v>
      </c>
      <c r="V40" s="2">
        <v>0</v>
      </c>
      <c r="X40" s="44">
        <f>-SUM(O40:V40)*(1-LN(-SUM(O40:V40)))</f>
        <v>1.1882724954689338E-9</v>
      </c>
      <c r="AB40">
        <v>94007.848534250879</v>
      </c>
      <c r="AC40">
        <v>-962.1796665505691</v>
      </c>
      <c r="AD40">
        <v>93045.668867700268</v>
      </c>
      <c r="AE40">
        <v>0.6169582310341446</v>
      </c>
      <c r="AF40">
        <v>94008.465492481919</v>
      </c>
      <c r="AG40">
        <v>188016.31402673278</v>
      </c>
      <c r="AH40">
        <v>-94007.848534250879</v>
      </c>
      <c r="AI40">
        <v>187053.51740195116</v>
      </c>
      <c r="AJ40">
        <v>-7.6186532968767473E-5</v>
      </c>
      <c r="AK40">
        <v>1.6618663054542999E-4</v>
      </c>
      <c r="AL40">
        <v>0.99999097679061666</v>
      </c>
      <c r="AM40">
        <v>-0.99999260147834157</v>
      </c>
      <c r="AN40">
        <v>-1.4398594102251926E-13</v>
      </c>
      <c r="AO40">
        <v>-94007.848534250879</v>
      </c>
      <c r="AP40">
        <v>962.1796665505691</v>
      </c>
      <c r="AQ40">
        <v>-93045.668867700268</v>
      </c>
      <c r="AR40">
        <v>-0.6169582310341446</v>
      </c>
      <c r="AS40">
        <v>-94008.465492481919</v>
      </c>
      <c r="AT40">
        <v>-188016.31402673278</v>
      </c>
      <c r="AU40">
        <v>94007.848534250879</v>
      </c>
      <c r="AV40">
        <v>-187053.51740195116</v>
      </c>
      <c r="AX40">
        <v>-23.759994494478541</v>
      </c>
    </row>
    <row r="41" spans="1:50" x14ac:dyDescent="0.15">
      <c r="A41" t="s">
        <v>43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f>-EXP(U$20)</f>
        <v>-1.0637331000230302E-5</v>
      </c>
      <c r="V41" s="2">
        <v>0</v>
      </c>
      <c r="X41" s="44">
        <f t="shared" si="9"/>
        <v>1.3244690763014803E-4</v>
      </c>
      <c r="AB41">
        <v>-47913.90969840801</v>
      </c>
      <c r="AC41">
        <v>490.4036245436634</v>
      </c>
      <c r="AD41">
        <v>-47423.50607386433</v>
      </c>
      <c r="AE41">
        <v>1819.9708625651358</v>
      </c>
      <c r="AF41">
        <v>-46093.938835842877</v>
      </c>
      <c r="AG41">
        <v>-94007.848534250894</v>
      </c>
      <c r="AH41">
        <v>47913.90969840801</v>
      </c>
      <c r="AI41">
        <v>-95337.415772272347</v>
      </c>
      <c r="AJ41">
        <v>3.8830743579567439E-5</v>
      </c>
      <c r="AK41">
        <v>0.49023549752043999</v>
      </c>
      <c r="AL41">
        <v>4.511589887330389E-6</v>
      </c>
      <c r="AM41">
        <v>-0.49032388302288926</v>
      </c>
      <c r="AN41">
        <v>7.3386752991945277E-14</v>
      </c>
      <c r="AO41">
        <v>47913.90969840801</v>
      </c>
      <c r="AP41">
        <v>-490.4036245436634</v>
      </c>
      <c r="AQ41">
        <v>47423.50607386433</v>
      </c>
      <c r="AR41">
        <v>-1819.9708625651358</v>
      </c>
      <c r="AS41">
        <v>46093.938835842877</v>
      </c>
      <c r="AT41">
        <v>94007.848534250894</v>
      </c>
      <c r="AU41">
        <v>-47913.90969840801</v>
      </c>
      <c r="AV41">
        <v>95337.415772272347</v>
      </c>
      <c r="AX41">
        <v>-11.451140951360877</v>
      </c>
    </row>
    <row r="42" spans="1:50" x14ac:dyDescent="0.15">
      <c r="A42" t="s">
        <v>60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1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f>-EXP(V$20)</f>
        <v>-7.6974942680105382E-19</v>
      </c>
      <c r="X42" s="44">
        <f t="shared" si="9"/>
        <v>3.2874629335474017E-17</v>
      </c>
      <c r="AB42">
        <v>95337.415772272318</v>
      </c>
      <c r="AC42">
        <v>12499024.212080793</v>
      </c>
      <c r="AD42">
        <v>12594361.627853066</v>
      </c>
      <c r="AE42">
        <v>-3621.3141425935141</v>
      </c>
      <c r="AF42">
        <v>91716.101629678829</v>
      </c>
      <c r="AG42">
        <v>187053.51740195116</v>
      </c>
      <c r="AH42">
        <v>-95337.415772272318</v>
      </c>
      <c r="AI42">
        <v>12689699.043625338</v>
      </c>
      <c r="AJ42">
        <v>0.98968763663958581</v>
      </c>
      <c r="AK42">
        <v>-0.97545338603386567</v>
      </c>
      <c r="AL42">
        <v>-8.9770032040755773E-6</v>
      </c>
      <c r="AM42">
        <v>-1.0141356482762378</v>
      </c>
      <c r="AN42">
        <v>0.99999999999023204</v>
      </c>
      <c r="AO42">
        <v>-95337.415772272318</v>
      </c>
      <c r="AP42">
        <v>-12499024.212080793</v>
      </c>
      <c r="AQ42">
        <v>-12594361.627853066</v>
      </c>
      <c r="AR42">
        <v>3621.3141425935141</v>
      </c>
      <c r="AS42">
        <v>-91716.101629678829</v>
      </c>
      <c r="AT42">
        <v>-187053.51740195116</v>
      </c>
      <c r="AU42">
        <v>95337.415772272318</v>
      </c>
      <c r="AV42">
        <v>-12689699.043625338</v>
      </c>
      <c r="AX42">
        <v>-41.708221910726621</v>
      </c>
    </row>
    <row r="44" spans="1:50" x14ac:dyDescent="0.15">
      <c r="B44">
        <f t="array" ref="B44:V44">TRANSPOSE(AX22:AX42)</f>
        <v>9.4008544058540623E-10</v>
      </c>
      <c r="C44">
        <v>7.9181192055231215E-8</v>
      </c>
      <c r="D44">
        <v>8.1880794399804578E-10</v>
      </c>
      <c r="E44">
        <v>2.6936447588478591E-4</v>
      </c>
      <c r="F44">
        <v>1.0635476123584082E-5</v>
      </c>
      <c r="G44">
        <v>4.7991630051082394E-11</v>
      </c>
      <c r="H44">
        <v>1.0637331000230283E-5</v>
      </c>
      <c r="I44">
        <v>7.7075362650548738E-19</v>
      </c>
      <c r="J44">
        <v>8.1880794476879551E-10</v>
      </c>
      <c r="K44">
        <v>1.0635524115214147E-5</v>
      </c>
      <c r="L44">
        <v>4.7991630051082394E-11</v>
      </c>
      <c r="M44">
        <v>-1.0637331000230283E-5</v>
      </c>
      <c r="N44">
        <v>7.7075362650548738E-19</v>
      </c>
      <c r="O44">
        <v>-20.785050350555764</v>
      </c>
      <c r="P44">
        <v>-16.351527040377746</v>
      </c>
      <c r="Q44">
        <v>-20.923171560170861</v>
      </c>
      <c r="R44">
        <v>-8.2194451665106314</v>
      </c>
      <c r="S44">
        <v>-11.45131534081875</v>
      </c>
      <c r="T44">
        <v>-23.759994494478541</v>
      </c>
      <c r="U44">
        <v>-11.451140951360877</v>
      </c>
      <c r="V44">
        <v>-41.708221910726621</v>
      </c>
    </row>
    <row r="45" spans="1:50" x14ac:dyDescent="0.15">
      <c r="A45" t="s">
        <v>76</v>
      </c>
    </row>
    <row r="46" spans="1:50" ht="16" x14ac:dyDescent="0.2">
      <c r="A46" s="25" t="s">
        <v>65</v>
      </c>
      <c r="B46" s="2" t="s">
        <v>64</v>
      </c>
      <c r="C46" s="2" t="s">
        <v>69</v>
      </c>
      <c r="D46" s="2" t="s">
        <v>66</v>
      </c>
      <c r="E46" s="2" t="s">
        <v>70</v>
      </c>
      <c r="F46" s="2" t="s">
        <v>71</v>
      </c>
      <c r="G46" s="2" t="s">
        <v>72</v>
      </c>
      <c r="H46" s="2" t="s">
        <v>67</v>
      </c>
      <c r="I46" s="2" t="s">
        <v>68</v>
      </c>
      <c r="J46" s="2" t="s">
        <v>62</v>
      </c>
    </row>
    <row r="47" spans="1:50" x14ac:dyDescent="0.15">
      <c r="A47" s="27">
        <v>1.0000000000000001E-5</v>
      </c>
      <c r="B47" s="4">
        <f>B20</f>
        <v>9.4008544058599104E-10</v>
      </c>
      <c r="C47" s="4">
        <f t="shared" ref="C47:I47" si="10">C20</f>
        <v>7.9181192055230566E-8</v>
      </c>
      <c r="D47" s="4">
        <f t="shared" si="10"/>
        <v>8.1880794399928903E-10</v>
      </c>
      <c r="E47" s="4">
        <f t="shared" si="10"/>
        <v>2.6936447588478591E-4</v>
      </c>
      <c r="F47" s="4">
        <f t="shared" si="10"/>
        <v>1.0635476123584082E-5</v>
      </c>
      <c r="G47" s="4">
        <f t="shared" si="10"/>
        <v>4.7991630015987189E-11</v>
      </c>
      <c r="H47" s="4">
        <f t="shared" si="10"/>
        <v>1.063733100023027E-5</v>
      </c>
      <c r="I47" s="4">
        <f t="shared" si="10"/>
        <v>7.7013470900031014E-19</v>
      </c>
      <c r="J47" s="28">
        <f>-LOG(H47)</f>
        <v>4.9731673266723817</v>
      </c>
      <c r="K47" s="1"/>
      <c r="L47" s="1"/>
    </row>
    <row r="49" spans="1:15" x14ac:dyDescent="0.15">
      <c r="B49" t="s">
        <v>74</v>
      </c>
    </row>
    <row r="50" spans="1:15" ht="16" x14ac:dyDescent="0.2">
      <c r="A50" s="25" t="s">
        <v>65</v>
      </c>
      <c r="B50" s="2" t="s">
        <v>64</v>
      </c>
      <c r="C50" s="2" t="s">
        <v>69</v>
      </c>
      <c r="D50" s="2" t="s">
        <v>66</v>
      </c>
      <c r="E50" s="2" t="s">
        <v>70</v>
      </c>
      <c r="F50" s="2" t="s">
        <v>71</v>
      </c>
      <c r="G50" s="2" t="s">
        <v>72</v>
      </c>
      <c r="H50" s="2" t="s">
        <v>67</v>
      </c>
      <c r="I50" s="2" t="s">
        <v>68</v>
      </c>
      <c r="J50" s="2" t="s">
        <v>62</v>
      </c>
      <c r="K50" s="2"/>
      <c r="L50" s="2"/>
      <c r="N50" s="2"/>
      <c r="O50" s="18"/>
    </row>
    <row r="51" spans="1:15" x14ac:dyDescent="0.15">
      <c r="A51" s="1">
        <v>1.0000000000000001E-5</v>
      </c>
      <c r="B51" s="3">
        <v>5.9187449148255175E-2</v>
      </c>
      <c r="C51" s="3">
        <v>1.2708122619605947E-6</v>
      </c>
      <c r="D51" s="3">
        <v>0.82737749749152467</v>
      </c>
      <c r="E51" s="3">
        <v>8.0282809761370762E-10</v>
      </c>
      <c r="F51" s="3">
        <v>1.9957284639226663E-3</v>
      </c>
      <c r="G51" s="3">
        <v>0.56698596946623847</v>
      </c>
      <c r="H51" s="3">
        <v>1.6895473858238361E-13</v>
      </c>
      <c r="I51" s="3">
        <v>4.8970363559188587E-2</v>
      </c>
      <c r="J51" s="2">
        <v>12.772229623295289</v>
      </c>
      <c r="K51" s="1"/>
      <c r="M51" s="1"/>
      <c r="N51" s="18"/>
      <c r="O51" s="17"/>
    </row>
    <row r="52" spans="1:15" x14ac:dyDescent="0.15">
      <c r="A52" s="1">
        <v>1E-3</v>
      </c>
      <c r="B52" s="3">
        <v>5.8642139425436363E-2</v>
      </c>
      <c r="C52" s="3">
        <v>1.2832901364776013E-6</v>
      </c>
      <c r="D52" s="3">
        <v>0.82780367032099056</v>
      </c>
      <c r="E52" s="3">
        <v>8.1780032460589673E-10</v>
      </c>
      <c r="F52" s="3">
        <v>2.0142209259428109E-3</v>
      </c>
      <c r="G52" s="3">
        <v>0.5669674769892461</v>
      </c>
      <c r="H52" s="3">
        <v>1.7052579675283084E-13</v>
      </c>
      <c r="I52" s="3">
        <v>4.8544178251848161E-2</v>
      </c>
      <c r="J52" s="2">
        <v>12.768209912624847</v>
      </c>
      <c r="K52" s="1"/>
      <c r="L52" s="1"/>
      <c r="M52" s="1"/>
      <c r="N52" s="18"/>
      <c r="O52" s="17"/>
    </row>
    <row r="53" spans="1:15" x14ac:dyDescent="0.15">
      <c r="A53" s="1">
        <v>0.01</v>
      </c>
      <c r="B53" s="3">
        <v>5.3705219454302247E-2</v>
      </c>
      <c r="C53" s="3">
        <v>1.4078233078662291E-6</v>
      </c>
      <c r="D53" s="3">
        <v>0.83168205667000006</v>
      </c>
      <c r="E53" s="3">
        <v>9.7474902634079594E-10</v>
      </c>
      <c r="F53" s="3">
        <v>2.1986652255428854E-3</v>
      </c>
      <c r="G53" s="3">
        <v>0.56678303253269735</v>
      </c>
      <c r="H53" s="3">
        <v>1.862016260401642E-13</v>
      </c>
      <c r="I53" s="3">
        <v>4.4665667369667095E-2</v>
      </c>
      <c r="J53" s="2">
        <v>12.730016530781167</v>
      </c>
      <c r="K53" s="1"/>
      <c r="M53" s="1"/>
      <c r="N53" s="18"/>
      <c r="O53" s="17"/>
    </row>
    <row r="54" spans="1:15" x14ac:dyDescent="0.15">
      <c r="A54" s="1">
        <v>0.03</v>
      </c>
      <c r="B54" s="3">
        <v>4.2885855020108221E-2</v>
      </c>
      <c r="C54" s="3">
        <v>1.7812822602182609E-6</v>
      </c>
      <c r="D54" s="3">
        <v>0.840309940308679</v>
      </c>
      <c r="E54" s="3">
        <v>1.5271277346254293E-9</v>
      </c>
      <c r="F54" s="3">
        <v>2.7506691299615236E-3</v>
      </c>
      <c r="G54" s="3">
        <v>0.56623102807589998</v>
      </c>
      <c r="H54" s="3">
        <v>2.3317623329618661E-13</v>
      </c>
      <c r="I54" s="3">
        <v>3.603741027203583E-2</v>
      </c>
      <c r="J54" s="2">
        <v>12.632315717525065</v>
      </c>
      <c r="K54" s="1"/>
      <c r="M54" s="1"/>
      <c r="N54" s="18"/>
      <c r="O54" s="17"/>
    </row>
    <row r="55" spans="1:15" x14ac:dyDescent="0.15">
      <c r="A55" s="1">
        <v>7.0000000000000007E-2</v>
      </c>
      <c r="B55" s="3">
        <v>2.2311821299335136E-2</v>
      </c>
      <c r="C55" s="3">
        <v>3.4927245683892669E-6</v>
      </c>
      <c r="D55" s="3">
        <v>0.8572195106035253</v>
      </c>
      <c r="E55" s="3">
        <v>5.6169559028210605E-9</v>
      </c>
      <c r="F55" s="3">
        <v>5.2636340498544935E-3</v>
      </c>
      <c r="G55" s="3">
        <v>0.56371805906617878</v>
      </c>
      <c r="H55" s="3">
        <v>4.4819139794313335E-13</v>
      </c>
      <c r="I55" s="3">
        <v>1.9126128534881624E-2</v>
      </c>
      <c r="J55" s="2">
        <v>12.348536483056826</v>
      </c>
      <c r="K55" s="1"/>
      <c r="M55" s="1"/>
      <c r="N55" s="18"/>
      <c r="O55" s="17"/>
    </row>
    <row r="56" spans="1:15" x14ac:dyDescent="0.15">
      <c r="A56" s="1">
        <v>0.1</v>
      </c>
      <c r="B56" s="3">
        <v>9.7076981612763992E-3</v>
      </c>
      <c r="C56" s="3">
        <v>8.1277159219723182E-6</v>
      </c>
      <c r="D56" s="3">
        <v>0.86791554203547949</v>
      </c>
      <c r="E56" s="3">
        <v>2.9319303857114003E-8</v>
      </c>
      <c r="F56" s="3">
        <v>1.195416209185623E-2</v>
      </c>
      <c r="G56" s="3">
        <v>0.55702750732182915</v>
      </c>
      <c r="H56" s="3">
        <v>1.0301083808355512E-12</v>
      </c>
      <c r="I56" s="3">
        <v>8.4254621115734604E-3</v>
      </c>
      <c r="J56" s="2">
        <v>11.987117079447653</v>
      </c>
      <c r="K56" s="1"/>
      <c r="M56" s="1"/>
      <c r="N56" s="18"/>
      <c r="O56" s="17"/>
    </row>
    <row r="57" spans="1:15" x14ac:dyDescent="0.15">
      <c r="A57" s="1">
        <v>0.15</v>
      </c>
      <c r="B57" s="3">
        <v>2.2597370147959513E-3</v>
      </c>
      <c r="C57" s="3">
        <v>3.5174575110749746E-5</v>
      </c>
      <c r="D57" s="3">
        <v>0.87433818293244125</v>
      </c>
      <c r="E57" s="3">
        <v>5.0604827535612611E-7</v>
      </c>
      <c r="F57" s="3">
        <v>4.8028512868698817E-2</v>
      </c>
      <c r="G57" s="3">
        <v>0.52095267981601523</v>
      </c>
      <c r="H57" s="3">
        <v>4.4252881511478102E-12</v>
      </c>
      <c r="I57" s="3">
        <v>1.9757743554234368E-3</v>
      </c>
      <c r="J57" s="2">
        <v>11.354058445106482</v>
      </c>
      <c r="K57" s="1"/>
      <c r="M57" s="1"/>
      <c r="N57" s="18"/>
      <c r="O57" s="17"/>
    </row>
    <row r="58" spans="1:15" x14ac:dyDescent="0.15">
      <c r="A58" s="1">
        <v>0.2</v>
      </c>
      <c r="B58" s="3">
        <v>1.0305579168285329E-3</v>
      </c>
      <c r="C58" s="3">
        <v>7.7219407864514603E-5</v>
      </c>
      <c r="D58" s="3">
        <v>0.87536979318459063</v>
      </c>
      <c r="E58" s="3">
        <v>2.2105507636814315E-6</v>
      </c>
      <c r="F58" s="3">
        <v>9.568022484281942E-2</v>
      </c>
      <c r="G58" s="3">
        <v>0.47329926333940592</v>
      </c>
      <c r="H58" s="3">
        <v>9.7034756368536372E-12</v>
      </c>
      <c r="I58" s="3">
        <v>9.0211927052009575E-4</v>
      </c>
      <c r="J58" s="2">
        <v>11.013072680213817</v>
      </c>
      <c r="K58" s="1"/>
      <c r="M58" s="1"/>
      <c r="N58" s="18"/>
      <c r="O58" s="17"/>
    </row>
    <row r="59" spans="1:15" x14ac:dyDescent="0.15">
      <c r="A59" s="1">
        <v>0.3</v>
      </c>
      <c r="B59" s="3">
        <v>4.0153909218758018E-4</v>
      </c>
      <c r="C59" s="3">
        <v>1.9828233164975351E-4</v>
      </c>
      <c r="D59" s="3">
        <v>0.8757991819228762</v>
      </c>
      <c r="E59" s="3">
        <v>1.1524766699234987E-5</v>
      </c>
      <c r="F59" s="3">
        <v>0.19436106298525063</v>
      </c>
      <c r="G59" s="3">
        <v>0.37460911098103966</v>
      </c>
      <c r="H59" s="3">
        <v>2.4904170679395189E-11</v>
      </c>
      <c r="I59" s="3">
        <v>3.5166760844934685E-4</v>
      </c>
      <c r="J59" s="2">
        <v>10.603727915901453</v>
      </c>
      <c r="K59" s="1"/>
      <c r="M59" s="1"/>
      <c r="N59" s="18"/>
      <c r="O59" s="17"/>
    </row>
    <row r="60" spans="1:15" x14ac:dyDescent="0.15">
      <c r="A60" s="1">
        <v>0.5</v>
      </c>
      <c r="B60" s="3">
        <v>9.3274678992152761E-5</v>
      </c>
      <c r="C60" s="3">
        <v>8.5321242486157182E-4</v>
      </c>
      <c r="D60" s="3">
        <v>0.87541426545351775</v>
      </c>
      <c r="E60" s="3">
        <v>1.0030545768059901E-4</v>
      </c>
      <c r="F60" s="3">
        <v>0.39295029339072102</v>
      </c>
      <c r="G60" s="3">
        <v>0.17593109988458713</v>
      </c>
      <c r="H60" s="3">
        <v>1.072102556795687E-10</v>
      </c>
      <c r="I60" s="3">
        <v>8.1653984595802566E-5</v>
      </c>
      <c r="J60" s="2">
        <v>9.9697636682626047</v>
      </c>
      <c r="K60" s="1"/>
      <c r="M60" s="1"/>
      <c r="N60" s="18"/>
      <c r="O60" s="17"/>
    </row>
    <row r="61" spans="1:15" x14ac:dyDescent="0.15">
      <c r="A61" s="1">
        <v>1</v>
      </c>
      <c r="B61" s="3">
        <v>2.076177689462735E-7</v>
      </c>
      <c r="C61" s="3">
        <v>0.26687076475783128</v>
      </c>
      <c r="D61" s="3">
        <v>0.60947824056662758</v>
      </c>
      <c r="E61" s="3">
        <v>5.8485247228428384E-2</v>
      </c>
      <c r="F61" s="3">
        <v>0.50998821495072866</v>
      </c>
      <c r="G61" s="3">
        <v>5.0823655383216016E-4</v>
      </c>
      <c r="H61" s="3">
        <v>4.8165434242312238E-8</v>
      </c>
      <c r="I61" s="3">
        <v>1.2653851602558837E-7</v>
      </c>
      <c r="J61" s="2">
        <v>7.3172645199165913</v>
      </c>
      <c r="K61" s="1"/>
      <c r="M61" s="1"/>
      <c r="N61" s="18"/>
      <c r="O61" s="17"/>
    </row>
    <row r="68" spans="1:31" x14ac:dyDescent="0.15">
      <c r="O68" t="s">
        <v>115</v>
      </c>
    </row>
    <row r="69" spans="1:31" x14ac:dyDescent="0.15">
      <c r="A69">
        <v>1</v>
      </c>
      <c r="B69" s="29">
        <v>1</v>
      </c>
      <c r="C69" s="29">
        <v>1</v>
      </c>
      <c r="D69" s="29">
        <v>1</v>
      </c>
      <c r="E69" s="29">
        <v>1</v>
      </c>
      <c r="F69" s="29">
        <v>1</v>
      </c>
      <c r="G69" s="29">
        <v>1</v>
      </c>
      <c r="H69" s="29">
        <v>1</v>
      </c>
      <c r="I69" s="29">
        <v>1</v>
      </c>
      <c r="J69" s="29">
        <v>1</v>
      </c>
      <c r="K69" s="29">
        <v>1</v>
      </c>
      <c r="L69" s="29">
        <v>1</v>
      </c>
      <c r="M69" s="29">
        <v>1</v>
      </c>
      <c r="N69" s="29">
        <v>1</v>
      </c>
      <c r="O69" s="29">
        <v>1</v>
      </c>
      <c r="P69" s="29">
        <v>1</v>
      </c>
      <c r="Q69" s="29">
        <v>1</v>
      </c>
      <c r="R69" s="29">
        <v>1</v>
      </c>
      <c r="S69" s="29">
        <v>1</v>
      </c>
      <c r="T69" s="29">
        <v>1</v>
      </c>
      <c r="U69" s="29">
        <v>1</v>
      </c>
      <c r="V69" s="29">
        <v>1</v>
      </c>
      <c r="X69" t="s">
        <v>116</v>
      </c>
      <c r="Y69" t="s">
        <v>117</v>
      </c>
      <c r="Z69" t="s">
        <v>118</v>
      </c>
      <c r="AA69" t="s">
        <v>119</v>
      </c>
      <c r="AB69" t="s">
        <v>120</v>
      </c>
      <c r="AC69" t="s">
        <v>121</v>
      </c>
      <c r="AD69" t="s">
        <v>122</v>
      </c>
      <c r="AE69" t="s">
        <v>123</v>
      </c>
    </row>
    <row r="70" spans="1:31" x14ac:dyDescent="0.15">
      <c r="A70">
        <f>A69+1</f>
        <v>2</v>
      </c>
      <c r="B70">
        <v>-39.121434936847081</v>
      </c>
      <c r="C70">
        <v>4.3815260919317733</v>
      </c>
      <c r="D70">
        <v>17.011958374918692</v>
      </c>
      <c r="E70">
        <v>-8.9490276232759829</v>
      </c>
      <c r="F70">
        <v>9.5666684688361237</v>
      </c>
      <c r="G70">
        <v>-0.61753903030038482</v>
      </c>
      <c r="H70">
        <v>-56.5587754624487</v>
      </c>
      <c r="I70">
        <v>-21.390444654377831</v>
      </c>
      <c r="J70">
        <v>-4.3784862794591444</v>
      </c>
      <c r="K70">
        <v>8.9491294385357367</v>
      </c>
      <c r="L70">
        <v>-0.61753903030038482</v>
      </c>
      <c r="M70">
        <v>56.5587754624487</v>
      </c>
      <c r="N70">
        <v>-21.390444654377831</v>
      </c>
      <c r="O70">
        <v>-14.391971622392244</v>
      </c>
      <c r="P70">
        <v>1.6118733701779551</v>
      </c>
      <c r="Q70">
        <v>6.2583497401969241</v>
      </c>
      <c r="R70">
        <v>-3.292163281078567</v>
      </c>
      <c r="S70">
        <v>3.5193806501878906</v>
      </c>
      <c r="T70">
        <v>-0.22717991336846038</v>
      </c>
      <c r="U70">
        <v>-20.80681071046671</v>
      </c>
      <c r="V70">
        <v>-7.869104825861184</v>
      </c>
      <c r="X70" s="18">
        <f>LN(ABS(B70-B69))</f>
        <v>3.6919107285769508</v>
      </c>
      <c r="Y70" s="18">
        <f t="shared" ref="Y70:Y91" si="11">LN(ABS(C70-C69))</f>
        <v>1.2183271140852339</v>
      </c>
      <c r="Z70" s="18">
        <f t="shared" ref="Z70:Z91" si="12">LN(ABS(D70-D69))</f>
        <v>2.7733358415090796</v>
      </c>
      <c r="AA70" s="18">
        <f t="shared" ref="AA70:AA91" si="13">LN(ABS(E70-E69))</f>
        <v>2.2974748200910535</v>
      </c>
      <c r="AB70" s="18">
        <f t="shared" ref="AB70:AB91" si="14">LN(ABS(F70-F69))</f>
        <v>2.1478789136030176</v>
      </c>
      <c r="AC70" s="18">
        <f t="shared" ref="AC70:AC91" si="15">LN(ABS(G70-G69))</f>
        <v>0.48090587711748822</v>
      </c>
      <c r="AD70" s="18">
        <f t="shared" ref="AD70:AD91" si="16">LN(ABS(H70-H69))</f>
        <v>4.0528066076866978</v>
      </c>
      <c r="AE70" s="18">
        <f t="shared" ref="AE70:AE91" si="17">LN(ABS(I70-I69))</f>
        <v>3.1086342899211852</v>
      </c>
    </row>
    <row r="71" spans="1:31" x14ac:dyDescent="0.15">
      <c r="A71">
        <f t="shared" ref="A71:A91" si="18">A70+1</f>
        <v>3</v>
      </c>
      <c r="B71" s="29">
        <v>-39.121434936847081</v>
      </c>
      <c r="C71" s="29">
        <v>4.3815260919317733</v>
      </c>
      <c r="D71" s="29">
        <v>17.011958374918692</v>
      </c>
      <c r="E71" s="29">
        <v>-8.9490276232759829</v>
      </c>
      <c r="F71" s="29">
        <v>9.5666684688361237</v>
      </c>
      <c r="G71" s="29">
        <v>-0.61753903030038482</v>
      </c>
      <c r="H71" s="29">
        <v>-56.5587754624487</v>
      </c>
      <c r="I71" s="29">
        <v>-21.390444654377831</v>
      </c>
      <c r="J71" s="29">
        <v>-4.3784862794591444</v>
      </c>
      <c r="K71" s="29">
        <v>8.9491294385357367</v>
      </c>
      <c r="L71" s="29">
        <v>-0.61753903030038482</v>
      </c>
      <c r="M71" s="29">
        <v>56.5587754624487</v>
      </c>
      <c r="N71" s="29">
        <v>-21.390444654377831</v>
      </c>
      <c r="O71" s="29">
        <v>-14.391971622392244</v>
      </c>
      <c r="P71" s="29">
        <v>1.6118733701779551</v>
      </c>
      <c r="Q71" s="29">
        <v>6.2583497401969241</v>
      </c>
      <c r="R71" s="29">
        <v>-3.292163281078567</v>
      </c>
      <c r="S71" s="29">
        <v>3.5193806501878906</v>
      </c>
      <c r="T71" s="29">
        <v>-0.22717991336846038</v>
      </c>
      <c r="U71" s="29">
        <v>-20.80681071046671</v>
      </c>
      <c r="V71" s="29">
        <v>-7.869104825861184</v>
      </c>
      <c r="W71" s="1"/>
      <c r="X71" s="18" t="e">
        <f t="shared" ref="X71:X91" si="19">LN(ABS(B71-B70))</f>
        <v>#NUM!</v>
      </c>
      <c r="Y71" s="18" t="e">
        <f t="shared" si="11"/>
        <v>#NUM!</v>
      </c>
      <c r="Z71" s="18" t="e">
        <f t="shared" si="12"/>
        <v>#NUM!</v>
      </c>
      <c r="AA71" s="18" t="e">
        <f t="shared" si="13"/>
        <v>#NUM!</v>
      </c>
      <c r="AB71" s="18" t="e">
        <f t="shared" si="14"/>
        <v>#NUM!</v>
      </c>
      <c r="AC71" s="18" t="e">
        <f t="shared" si="15"/>
        <v>#NUM!</v>
      </c>
      <c r="AD71" s="18" t="e">
        <f t="shared" si="16"/>
        <v>#NUM!</v>
      </c>
      <c r="AE71" s="18" t="e">
        <f t="shared" si="17"/>
        <v>#NUM!</v>
      </c>
    </row>
    <row r="72" spans="1:31" x14ac:dyDescent="0.15">
      <c r="A72">
        <f t="shared" si="18"/>
        <v>4</v>
      </c>
      <c r="B72" s="29">
        <v>5.6158056999866961E-7</v>
      </c>
      <c r="C72" s="29">
        <v>2.7038604411369345E-3</v>
      </c>
      <c r="D72" s="29">
        <v>3.3615781453069996E-4</v>
      </c>
      <c r="E72" s="29">
        <v>2.0578639531586487E-5</v>
      </c>
      <c r="F72" s="29">
        <v>4.9878014912650942E-4</v>
      </c>
      <c r="G72" s="29">
        <v>-4.1754352890404262E-4</v>
      </c>
      <c r="H72" s="29">
        <v>9.2034543599312841E-10</v>
      </c>
      <c r="I72" s="29">
        <v>-2.0578303724016686E-7</v>
      </c>
      <c r="J72" s="29">
        <v>3.3595203149380847E-4</v>
      </c>
      <c r="K72" s="29">
        <v>8.123662022324736E-5</v>
      </c>
      <c r="L72" s="29">
        <v>-4.1754352890404262E-4</v>
      </c>
      <c r="M72" s="29">
        <v>-9.2034543599312841E-10</v>
      </c>
      <c r="N72" s="29">
        <v>-2.0578303724016686E-7</v>
      </c>
      <c r="O72" s="29">
        <v>-14.392510435514033</v>
      </c>
      <c r="P72" s="29">
        <v>0.61241282684109422</v>
      </c>
      <c r="Q72" s="29">
        <v>5.2583503837382688</v>
      </c>
      <c r="R72" s="29">
        <v>-4.2916096951994076</v>
      </c>
      <c r="S72" s="29">
        <v>2.5193954229452489</v>
      </c>
      <c r="T72" s="29">
        <v>-1.2277039537329046</v>
      </c>
      <c r="U72" s="29">
        <v>-20.806271897344914</v>
      </c>
      <c r="V72" s="29">
        <v>-8.8696429954416249</v>
      </c>
      <c r="W72" s="1"/>
      <c r="X72" s="18">
        <f t="shared" si="19"/>
        <v>3.666670539238464</v>
      </c>
      <c r="Y72" s="18">
        <f t="shared" si="11"/>
        <v>1.4767797913091496</v>
      </c>
      <c r="Z72" s="18">
        <f t="shared" si="12"/>
        <v>2.8338967702969486</v>
      </c>
      <c r="AA72" s="18">
        <f t="shared" si="13"/>
        <v>2.1915471804769195</v>
      </c>
      <c r="AB72" s="18">
        <f t="shared" si="14"/>
        <v>2.2582328838303387</v>
      </c>
      <c r="AC72" s="18">
        <f t="shared" si="15"/>
        <v>-0.48268937531543649</v>
      </c>
      <c r="AD72" s="18">
        <f t="shared" si="16"/>
        <v>4.0352803711306287</v>
      </c>
      <c r="AE72" s="18">
        <f t="shared" si="17"/>
        <v>3.0629443012138751</v>
      </c>
    </row>
    <row r="73" spans="1:31" x14ac:dyDescent="0.15">
      <c r="B73" s="29">
        <v>5.6075846401635566E-7</v>
      </c>
      <c r="C73" s="29">
        <v>2.7042375930575895E-3</v>
      </c>
      <c r="D73" s="29">
        <v>3.3578047029764061E-4</v>
      </c>
      <c r="E73" s="29">
        <v>2.0581606866446159E-5</v>
      </c>
      <c r="F73" s="29">
        <v>4.9839643139506053E-4</v>
      </c>
      <c r="G73" s="29">
        <v>-4.17162778506211E-4</v>
      </c>
      <c r="H73" s="29">
        <v>9.2169301203095972E-10</v>
      </c>
      <c r="I73" s="29">
        <v>-2.0559072528561137E-7</v>
      </c>
      <c r="J73" s="29">
        <v>3.3557487957226522E-4</v>
      </c>
      <c r="K73" s="29">
        <v>8.123365288841545E-5</v>
      </c>
      <c r="L73" s="29">
        <v>-4.17162778506211E-4</v>
      </c>
      <c r="M73" s="29">
        <v>-9.2169301203095972E-10</v>
      </c>
      <c r="N73" s="29">
        <v>-2.0559072528561137E-7</v>
      </c>
      <c r="O73" s="29">
        <v>-14.393974496985335</v>
      </c>
      <c r="P73" s="29">
        <v>-0.38612136432563837</v>
      </c>
      <c r="Q73" s="29">
        <v>4.2583521311002315</v>
      </c>
      <c r="R73" s="29">
        <v>-5.2901055086958975</v>
      </c>
      <c r="S73" s="29">
        <v>1.5194355479774664</v>
      </c>
      <c r="T73" s="29">
        <v>-2.2291278901719918</v>
      </c>
      <c r="U73">
        <v>-20.804807835873603</v>
      </c>
      <c r="V73">
        <v>-9.8711053095509556</v>
      </c>
      <c r="Y73" s="18">
        <f t="shared" si="11"/>
        <v>-14.790617758110182</v>
      </c>
      <c r="Z73" s="18">
        <f t="shared" si="12"/>
        <v>-14.790107981068905</v>
      </c>
      <c r="AA73" s="18">
        <f t="shared" si="13"/>
        <v>-19.635601640640242</v>
      </c>
      <c r="AB73" s="18">
        <f t="shared" si="14"/>
        <v>-14.773358629010165</v>
      </c>
      <c r="AC73" s="18">
        <f t="shared" si="15"/>
        <v>-14.781121800308599</v>
      </c>
      <c r="AD73" s="18">
        <f t="shared" si="16"/>
        <v>-27.332713664902279</v>
      </c>
      <c r="AE73" s="18">
        <f t="shared" si="17"/>
        <v>-22.371902299090852</v>
      </c>
    </row>
    <row r="74" spans="1:31" x14ac:dyDescent="0.15">
      <c r="B74" s="29">
        <v>5.5852981499769351E-7</v>
      </c>
      <c r="C74" s="29">
        <v>2.7052609383592281E-3</v>
      </c>
      <c r="D74" s="29">
        <v>3.3475660250864786E-4</v>
      </c>
      <c r="E74" s="29">
        <v>2.0589659587171291E-5</v>
      </c>
      <c r="F74" s="29">
        <v>4.9735527082443492E-4</v>
      </c>
      <c r="G74" s="29">
        <v>-4.1612967065668871E-4</v>
      </c>
      <c r="H74" s="29">
        <v>9.2535811556979745E-10</v>
      </c>
      <c r="I74" s="29">
        <v>-2.0506823826364762E-7</v>
      </c>
      <c r="J74" s="29">
        <v>3.3455153427062654E-4</v>
      </c>
      <c r="K74" s="29">
        <v>8.1225600167690321E-5</v>
      </c>
      <c r="L74" s="29">
        <v>-4.1612967065668871E-4</v>
      </c>
      <c r="M74" s="29">
        <v>-9.2535811556979745E-10</v>
      </c>
      <c r="N74" s="29">
        <v>-2.0506823826364762E-7</v>
      </c>
      <c r="O74" s="29">
        <v>-14.397949912570578</v>
      </c>
      <c r="P74" s="29">
        <v>-1.3821412134096436</v>
      </c>
      <c r="Q74" s="29">
        <v>3.2583568664309843</v>
      </c>
      <c r="R74" s="29">
        <v>-6.286021254183872</v>
      </c>
      <c r="S74" s="29">
        <v>0.51954438690425131</v>
      </c>
      <c r="T74" s="29">
        <v>-3.232994466830442</v>
      </c>
      <c r="U74" s="29">
        <v>-20.800832420288369</v>
      </c>
      <c r="V74" s="29">
        <v>-10.875075989805465</v>
      </c>
      <c r="W74" s="1"/>
      <c r="X74" s="18">
        <f t="shared" si="19"/>
        <v>-19.921870256285946</v>
      </c>
      <c r="Y74" s="18">
        <f t="shared" si="11"/>
        <v>-13.792433589689375</v>
      </c>
      <c r="Z74" s="18">
        <f t="shared" si="12"/>
        <v>-13.791923151994444</v>
      </c>
      <c r="AA74" s="18">
        <f t="shared" si="13"/>
        <v>-18.637255824340492</v>
      </c>
      <c r="AB74" s="18">
        <f t="shared" si="14"/>
        <v>-13.775174533707858</v>
      </c>
      <c r="AC74" s="18">
        <f t="shared" si="15"/>
        <v>-13.782938969092305</v>
      </c>
      <c r="AD74" s="18">
        <f t="shared" si="16"/>
        <v>-26.332164530282913</v>
      </c>
      <c r="AE74" s="18">
        <f t="shared" si="17"/>
        <v>-21.372420970744944</v>
      </c>
    </row>
    <row r="75" spans="1:31" x14ac:dyDescent="0.15">
      <c r="A75">
        <f t="shared" si="18"/>
        <v>1</v>
      </c>
      <c r="B75" s="29">
        <v>5.5251633738218357E-7</v>
      </c>
      <c r="C75" s="29">
        <v>2.7080289806287587E-3</v>
      </c>
      <c r="D75" s="29">
        <v>3.3198714697601556E-4</v>
      </c>
      <c r="E75" s="29">
        <v>2.0611448209128269E-5</v>
      </c>
      <c r="F75" s="29">
        <v>4.9453904111977534E-4</v>
      </c>
      <c r="G75" s="29">
        <v>-4.1333522957410173E-4</v>
      </c>
      <c r="H75" s="29">
        <v>9.3533571769206203E-10</v>
      </c>
      <c r="I75" s="29">
        <v>-2.0365497467375181E-7</v>
      </c>
      <c r="J75" s="29">
        <v>3.3178349200131826E-4</v>
      </c>
      <c r="K75" s="29">
        <v>8.120381154572987E-5</v>
      </c>
      <c r="L75" s="29">
        <v>-4.1333522957410173E-4</v>
      </c>
      <c r="M75" s="29">
        <v>-9.3533571769206203E-10</v>
      </c>
      <c r="N75" s="29">
        <v>-2.0365497467375181E-7</v>
      </c>
      <c r="O75" s="29">
        <v>-14.408724368993287</v>
      </c>
      <c r="P75" s="29">
        <v>-2.3713539915741526</v>
      </c>
      <c r="Q75" s="29">
        <v>2.2583696318437738</v>
      </c>
      <c r="R75" s="29">
        <v>-7.2749526501524757</v>
      </c>
      <c r="S75" s="29">
        <v>-0.48016146548705241</v>
      </c>
      <c r="T75" s="29">
        <v>-4.2434747756444411</v>
      </c>
      <c r="U75" s="29">
        <v>-20.790057963865671</v>
      </c>
      <c r="V75" s="29">
        <v>-11.885837680815369</v>
      </c>
      <c r="W75" s="1"/>
      <c r="X75" s="18">
        <f t="shared" si="19"/>
        <v>-18.929262617557811</v>
      </c>
      <c r="Y75" s="18">
        <f t="shared" si="11"/>
        <v>-12.797370249541293</v>
      </c>
      <c r="Z75" s="18">
        <f t="shared" si="12"/>
        <v>-12.796859815701701</v>
      </c>
      <c r="AA75" s="18">
        <f t="shared" si="13"/>
        <v>-17.641877931982478</v>
      </c>
      <c r="AB75" s="18">
        <f t="shared" si="14"/>
        <v>-12.780111551738278</v>
      </c>
      <c r="AC75" s="18">
        <f t="shared" si="15"/>
        <v>-12.787878441805852</v>
      </c>
      <c r="AD75" s="18">
        <f t="shared" si="16"/>
        <v>-25.330678322784394</v>
      </c>
      <c r="AE75" s="18">
        <f t="shared" si="17"/>
        <v>-20.377364204360081</v>
      </c>
    </row>
    <row r="76" spans="1:31" x14ac:dyDescent="0.15">
      <c r="A76">
        <f t="shared" si="18"/>
        <v>2</v>
      </c>
      <c r="B76" s="29">
        <v>5.3649505877513905E-7</v>
      </c>
      <c r="C76" s="29">
        <v>2.7154529509705039E-3</v>
      </c>
      <c r="D76" s="29">
        <v>3.2455938831514445E-4</v>
      </c>
      <c r="E76" s="29">
        <v>2.0669936468603362E-5</v>
      </c>
      <c r="F76" s="29">
        <v>4.8698583406903302E-4</v>
      </c>
      <c r="G76" s="29">
        <v>-4.0584051078276957E-4</v>
      </c>
      <c r="H76" s="29">
        <v>9.625661529536522E-10</v>
      </c>
      <c r="I76" s="29">
        <v>-1.9986665563437203E-7</v>
      </c>
      <c r="J76" s="29">
        <v>3.2435952165948978E-4</v>
      </c>
      <c r="K76" s="29">
        <v>8.1145323286254778E-5</v>
      </c>
      <c r="L76" s="29">
        <v>-4.0584051078276957E-4</v>
      </c>
      <c r="M76" s="29">
        <v>-9.625661529536522E-10</v>
      </c>
      <c r="N76" s="29">
        <v>-1.9986665563437203E-7</v>
      </c>
      <c r="O76" s="29">
        <v>-14.437778068992801</v>
      </c>
      <c r="P76" s="29">
        <v>-3.3422663683829019</v>
      </c>
      <c r="Q76" s="29">
        <v>1.2584035550355068</v>
      </c>
      <c r="R76" s="29">
        <v>-8.2451118177278282</v>
      </c>
      <c r="S76" s="29">
        <v>-1.4793743330619227</v>
      </c>
      <c r="T76" s="29">
        <v>-5.2717413432188378</v>
      </c>
      <c r="U76" s="29">
        <v>-20.761004263866145</v>
      </c>
      <c r="V76" s="29">
        <v>-12.914857457623159</v>
      </c>
      <c r="W76" s="1"/>
      <c r="X76" s="18">
        <f t="shared" si="19"/>
        <v>-17.949348085317286</v>
      </c>
      <c r="Y76" s="18">
        <f t="shared" si="11"/>
        <v>-11.810796557404139</v>
      </c>
      <c r="Z76" s="18">
        <f t="shared" si="12"/>
        <v>-11.810286405460564</v>
      </c>
      <c r="AA76" s="18">
        <f t="shared" si="13"/>
        <v>-16.654439795583542</v>
      </c>
      <c r="AB76" s="18">
        <f t="shared" si="14"/>
        <v>-11.793538309961916</v>
      </c>
      <c r="AC76" s="18">
        <f t="shared" si="15"/>
        <v>-11.801311946615636</v>
      </c>
      <c r="AD76" s="18">
        <f t="shared" si="16"/>
        <v>-24.326685824736401</v>
      </c>
      <c r="AE76" s="18">
        <f t="shared" si="17"/>
        <v>-19.391343441468091</v>
      </c>
    </row>
    <row r="77" spans="1:31" x14ac:dyDescent="0.15">
      <c r="A77">
        <f t="shared" si="18"/>
        <v>3</v>
      </c>
      <c r="B77" s="29">
        <v>4.9525578986292813E-7</v>
      </c>
      <c r="C77" s="29">
        <v>2.7349093400929627E-3</v>
      </c>
      <c r="D77" s="29">
        <v>3.0509308504364578E-4</v>
      </c>
      <c r="E77" s="29">
        <v>2.0823588392365724E-5</v>
      </c>
      <c r="F77" s="29">
        <v>4.671907411767635E-4</v>
      </c>
      <c r="G77" s="29">
        <v>-3.8619906981429209E-4</v>
      </c>
      <c r="H77" s="29">
        <v>1.0373684449616109E-9</v>
      </c>
      <c r="I77" s="29">
        <v>-1.8995250662275065E-7</v>
      </c>
      <c r="J77" s="29">
        <v>3.0490313253702018E-4</v>
      </c>
      <c r="K77" s="29">
        <v>8.0991671362491544E-5</v>
      </c>
      <c r="L77" s="29">
        <v>-3.8619906981429209E-4</v>
      </c>
      <c r="M77" s="29">
        <v>-1.0373684449616109E-9</v>
      </c>
      <c r="N77" s="29">
        <v>-1.8995250662275065E-7</v>
      </c>
      <c r="O77" s="29">
        <v>-14.51504325234805</v>
      </c>
      <c r="P77" s="29">
        <v>-4.2649145058775257</v>
      </c>
      <c r="Q77" s="29">
        <v>0.25849023418563138</v>
      </c>
      <c r="R77" s="29">
        <v>-9.1657955745058448</v>
      </c>
      <c r="S77" s="29">
        <v>-2.4773232731951884</v>
      </c>
      <c r="T77" s="29">
        <v>-6.3469554667073504</v>
      </c>
      <c r="U77" s="29">
        <v>-20.6837390805109</v>
      </c>
      <c r="V77" s="29">
        <v>-13.992035961828282</v>
      </c>
      <c r="W77" s="1"/>
      <c r="X77" s="18">
        <f t="shared" si="19"/>
        <v>-17.003874905592738</v>
      </c>
      <c r="Y77" s="18">
        <f t="shared" si="11"/>
        <v>-10.84733505225414</v>
      </c>
      <c r="Z77" s="18">
        <f t="shared" si="12"/>
        <v>-10.846825624532443</v>
      </c>
      <c r="AA77" s="18">
        <f t="shared" si="13"/>
        <v>-15.688576028029406</v>
      </c>
      <c r="AB77" s="18">
        <f t="shared" si="14"/>
        <v>-10.830076484703397</v>
      </c>
      <c r="AC77" s="18">
        <f t="shared" si="15"/>
        <v>-10.837868888662252</v>
      </c>
      <c r="AD77" s="18">
        <f t="shared" si="16"/>
        <v>-23.316172589599937</v>
      </c>
      <c r="AE77" s="18">
        <f t="shared" si="17"/>
        <v>-18.429302907037204</v>
      </c>
    </row>
    <row r="78" spans="1:31" x14ac:dyDescent="0.15">
      <c r="A78">
        <f t="shared" si="18"/>
        <v>4</v>
      </c>
      <c r="B78" s="29">
        <v>3.9853627656139916E-7</v>
      </c>
      <c r="C78" s="29">
        <v>2.7827893291069469E-3</v>
      </c>
      <c r="D78" s="29">
        <v>2.5718878653719637E-4</v>
      </c>
      <c r="E78" s="29">
        <v>2.1204337214967381E-5</v>
      </c>
      <c r="F78" s="29">
        <v>4.1847663574960274E-4</v>
      </c>
      <c r="G78" s="29">
        <v>-3.3786571320971586E-4</v>
      </c>
      <c r="H78" s="29">
        <v>1.2461156089189059E-9</v>
      </c>
      <c r="I78" s="29">
        <v>-1.656430141610033E-7</v>
      </c>
      <c r="J78" s="29">
        <v>2.570231435230307E-4</v>
      </c>
      <c r="K78" s="29">
        <v>8.0610922539890321E-5</v>
      </c>
      <c r="L78" s="29">
        <v>-3.3786571320971586E-4</v>
      </c>
      <c r="M78" s="29">
        <v>-1.2461156089189059E-9</v>
      </c>
      <c r="N78" s="29">
        <v>-1.656430141610033E-7</v>
      </c>
      <c r="O78" s="29">
        <v>-14.7128646965395</v>
      </c>
      <c r="P78" s="29">
        <v>-5.0668944562428972</v>
      </c>
      <c r="Q78" s="29">
        <v>-0.74131116037118572</v>
      </c>
      <c r="R78" s="29">
        <v>-9.9629903482472795</v>
      </c>
      <c r="S78" s="29">
        <v>-3.4723394911280656</v>
      </c>
      <c r="T78" s="29">
        <v>-7.5397931288316746</v>
      </c>
      <c r="U78" s="29">
        <v>-20.485917636319456</v>
      </c>
      <c r="V78" s="29">
        <v>-15.189658800576547</v>
      </c>
      <c r="W78" s="1"/>
      <c r="X78" s="18">
        <f t="shared" si="19"/>
        <v>-16.15145066268801</v>
      </c>
      <c r="Y78" s="18">
        <f t="shared" si="11"/>
        <v>-9.9468129067234798</v>
      </c>
      <c r="Z78" s="18">
        <f t="shared" si="12"/>
        <v>-9.9463053183994141</v>
      </c>
      <c r="AA78" s="18">
        <f t="shared" si="13"/>
        <v>-14.781125937489364</v>
      </c>
      <c r="AB78" s="18">
        <f t="shared" si="14"/>
        <v>-9.9295419306516433</v>
      </c>
      <c r="AC78" s="18">
        <f t="shared" si="15"/>
        <v>-9.9373886227379344</v>
      </c>
      <c r="AD78" s="18">
        <f t="shared" si="16"/>
        <v>-22.28989733812319</v>
      </c>
      <c r="AE78" s="18">
        <f t="shared" si="17"/>
        <v>-17.532398926592499</v>
      </c>
    </row>
    <row r="79" spans="1:31" x14ac:dyDescent="0.15">
      <c r="A79">
        <f t="shared" si="18"/>
        <v>5</v>
      </c>
      <c r="B79" s="29">
        <v>2.2134204572894015E-7</v>
      </c>
      <c r="C79" s="29">
        <v>2.8822389180495952E-3</v>
      </c>
      <c r="D79" s="29">
        <v>1.5768912330425304E-4</v>
      </c>
      <c r="E79" s="29">
        <v>2.2012693117582401E-5</v>
      </c>
      <c r="F79" s="29">
        <v>3.1728261384033105E-4</v>
      </c>
      <c r="G79" s="29">
        <v>-2.3748004720305647E-4</v>
      </c>
      <c r="H79" s="29">
        <v>1.8473364689123997E-9</v>
      </c>
      <c r="I79" s="29">
        <v>-1.1556872386684965E-7</v>
      </c>
      <c r="J79" s="29">
        <v>1.5757355458038798E-4</v>
      </c>
      <c r="K79" s="29">
        <v>7.9802566637275302E-5</v>
      </c>
      <c r="L79" s="29">
        <v>-2.3748004720305647E-4</v>
      </c>
      <c r="M79" s="29">
        <v>-1.8473364689123997E-9</v>
      </c>
      <c r="N79" s="29">
        <v>-1.1556872386684965E-7</v>
      </c>
      <c r="O79" s="29">
        <v>-15.169889651208111</v>
      </c>
      <c r="P79" s="29">
        <v>-5.6095385617096092</v>
      </c>
      <c r="Q79" s="29">
        <v>-1.7409802205065088</v>
      </c>
      <c r="R79" s="29">
        <v>-10.495745081553375</v>
      </c>
      <c r="S79" s="29">
        <v>-4.4621191791027748</v>
      </c>
      <c r="T79" s="29">
        <v>-8.9865977714749956</v>
      </c>
      <c r="U79" s="29">
        <v>-20.028892681650849</v>
      </c>
      <c r="V79" s="29">
        <v>-16.646352815380482</v>
      </c>
      <c r="W79" s="1"/>
      <c r="X79" s="18">
        <f t="shared" si="19"/>
        <v>-15.546019356684333</v>
      </c>
      <c r="Y79" s="18">
        <f t="shared" si="11"/>
        <v>-9.2158596859795399</v>
      </c>
      <c r="Z79" s="18">
        <f t="shared" si="12"/>
        <v>-9.215356298398989</v>
      </c>
      <c r="AA79" s="18">
        <f t="shared" si="13"/>
        <v>-14.028263401871865</v>
      </c>
      <c r="AB79" s="18">
        <f t="shared" si="14"/>
        <v>-9.1984708748985007</v>
      </c>
      <c r="AC79" s="18">
        <f t="shared" si="15"/>
        <v>-9.2064911297570635</v>
      </c>
      <c r="AD79" s="18">
        <f t="shared" si="16"/>
        <v>-21.232058761390363</v>
      </c>
      <c r="AE79" s="18">
        <f t="shared" si="17"/>
        <v>-16.809758128352605</v>
      </c>
    </row>
    <row r="80" spans="1:31" x14ac:dyDescent="0.15">
      <c r="A80">
        <f t="shared" si="18"/>
        <v>6</v>
      </c>
      <c r="B80" s="29">
        <v>4.5514472689676161E-8</v>
      </c>
      <c r="C80" s="29">
        <v>3.0173414699896377E-3</v>
      </c>
      <c r="D80" s="29">
        <v>2.2519560720543479E-5</v>
      </c>
      <c r="E80" s="29">
        <v>2.3208055557204313E-5</v>
      </c>
      <c r="F80" s="29">
        <v>1.7967871563228903E-4</v>
      </c>
      <c r="G80" s="29">
        <v>-1.0107151143463548E-4</v>
      </c>
      <c r="H80" s="29">
        <v>3.6517958532619943E-9</v>
      </c>
      <c r="I80" s="29">
        <v>-4.8558080198957904E-8</v>
      </c>
      <c r="J80" s="29">
        <v>2.2471002640344126E-5</v>
      </c>
      <c r="K80" s="29">
        <v>7.8607204197653389E-5</v>
      </c>
      <c r="L80" s="29">
        <v>-1.0107151143463548E-4</v>
      </c>
      <c r="M80" s="29">
        <v>-3.6517958532619943E-9</v>
      </c>
      <c r="N80" s="29">
        <v>-4.8558080198957904E-8</v>
      </c>
      <c r="O80" s="29">
        <v>-15.993550444725781</v>
      </c>
      <c r="P80" s="29">
        <v>-5.7857493406951965</v>
      </c>
      <c r="Q80" s="29">
        <v>-2.7408517930097687</v>
      </c>
      <c r="R80" s="29">
        <v>-10.656511356595866</v>
      </c>
      <c r="S80" s="29">
        <v>-5.4465462476629396</v>
      </c>
      <c r="T80" s="29">
        <v>-10.794685633552833</v>
      </c>
      <c r="U80" s="29">
        <v>-19.20523188813317</v>
      </c>
      <c r="V80" s="29">
        <v>-18.469885181401409</v>
      </c>
      <c r="W80" s="1"/>
      <c r="X80" s="18">
        <f t="shared" si="19"/>
        <v>-15.55376202076719</v>
      </c>
      <c r="Y80" s="18">
        <f t="shared" si="11"/>
        <v>-8.9094764239089965</v>
      </c>
      <c r="Z80" s="18">
        <f t="shared" si="12"/>
        <v>-8.9089805485194233</v>
      </c>
      <c r="AA80" s="18">
        <f t="shared" si="13"/>
        <v>-13.637061121811225</v>
      </c>
      <c r="AB80" s="18">
        <f t="shared" si="14"/>
        <v>-8.8911313028660128</v>
      </c>
      <c r="AC80" s="18">
        <f t="shared" si="15"/>
        <v>-8.899856235565526</v>
      </c>
      <c r="AD80" s="18">
        <f t="shared" si="16"/>
        <v>-20.133004800079288</v>
      </c>
      <c r="AE80" s="18">
        <f t="shared" si="17"/>
        <v>-16.51841436945767</v>
      </c>
    </row>
    <row r="81" spans="1:31" x14ac:dyDescent="0.15">
      <c r="A81">
        <f t="shared" si="18"/>
        <v>7</v>
      </c>
      <c r="B81" s="29">
        <v>-1.0617297104930281E-9</v>
      </c>
      <c r="C81" s="29">
        <v>3.0970707892816435E-3</v>
      </c>
      <c r="D81" s="29">
        <v>-5.7248699100009631E-5</v>
      </c>
      <c r="E81" s="29">
        <v>2.430164009297734E-5</v>
      </c>
      <c r="F81" s="29">
        <v>9.7749074125314951E-5</v>
      </c>
      <c r="G81" s="29">
        <v>-2.0235454463434562E-5</v>
      </c>
      <c r="H81" s="29">
        <v>9.1692654241323718E-9</v>
      </c>
      <c r="I81" s="29">
        <v>-9.6175516507323335E-9</v>
      </c>
      <c r="J81" s="29">
        <v>-5.7258316651660364E-5</v>
      </c>
      <c r="K81" s="29">
        <v>7.7513619661880362E-5</v>
      </c>
      <c r="L81" s="29">
        <v>-2.0235454463434562E-5</v>
      </c>
      <c r="M81" s="29">
        <v>-9.1692654241323718E-9</v>
      </c>
      <c r="N81" s="29">
        <v>-9.6175516507323335E-9</v>
      </c>
      <c r="O81" s="29">
        <v>-17.002924438798768</v>
      </c>
      <c r="P81" s="29">
        <v>-5.7772627119016784</v>
      </c>
      <c r="Q81" s="29">
        <v>-3.7417391582892345</v>
      </c>
      <c r="R81" s="29">
        <v>-10.624463911180738</v>
      </c>
      <c r="S81" s="29">
        <v>-6.4238727963207953</v>
      </c>
      <c r="T81" s="29">
        <v>-12.781386176283668</v>
      </c>
      <c r="U81" s="29">
        <v>-18.195857894060186</v>
      </c>
      <c r="V81" s="29">
        <v>-20.480146540753864</v>
      </c>
      <c r="W81" s="1"/>
      <c r="X81" s="18">
        <f t="shared" si="19"/>
        <v>-16.882176104363243</v>
      </c>
      <c r="Y81" s="18">
        <f t="shared" si="11"/>
        <v>-9.4368731691508625</v>
      </c>
      <c r="Z81" s="18">
        <f t="shared" si="12"/>
        <v>-9.4363848792402845</v>
      </c>
      <c r="AA81" s="18">
        <f t="shared" si="13"/>
        <v>-13.726049692297746</v>
      </c>
      <c r="AB81" s="18">
        <f t="shared" si="14"/>
        <v>-9.4096497094215632</v>
      </c>
      <c r="AC81" s="18">
        <f t="shared" si="15"/>
        <v>-9.4230874423334097</v>
      </c>
      <c r="AD81" s="18">
        <f t="shared" si="16"/>
        <v>-19.015346492834091</v>
      </c>
      <c r="AE81" s="18">
        <f t="shared" si="17"/>
        <v>-17.061230263693716</v>
      </c>
    </row>
    <row r="82" spans="1:31" x14ac:dyDescent="0.15">
      <c r="A82">
        <f t="shared" si="18"/>
        <v>8</v>
      </c>
      <c r="B82" s="29">
        <v>-3.4132023211823916E-10</v>
      </c>
      <c r="C82" s="29">
        <v>3.1132055664576156E-3</v>
      </c>
      <c r="D82" s="29">
        <v>-7.3391804115370538E-5</v>
      </c>
      <c r="E82" s="29">
        <v>2.5696135279149986E-5</v>
      </c>
      <c r="F82" s="29">
        <v>7.8818378540834193E-5</v>
      </c>
      <c r="G82" s="29">
        <v>-2.6992540651264725E-6</v>
      </c>
      <c r="H82" s="29">
        <v>2.5145550452716179E-8</v>
      </c>
      <c r="I82" s="29">
        <v>-1.2897122629377487E-9</v>
      </c>
      <c r="J82" s="29">
        <v>-7.3393093827633495E-5</v>
      </c>
      <c r="K82" s="29">
        <v>7.6119124475707649E-5</v>
      </c>
      <c r="L82" s="29">
        <v>-2.6992540651264725E-6</v>
      </c>
      <c r="M82" s="29">
        <v>-2.5145550452716179E-8</v>
      </c>
      <c r="N82" s="29">
        <v>-1.2897122629377487E-9</v>
      </c>
      <c r="O82" s="29">
        <v>-18.011193158921635</v>
      </c>
      <c r="P82" s="29">
        <v>-5.7720890172879162</v>
      </c>
      <c r="Q82" s="29">
        <v>-4.7448341837983401</v>
      </c>
      <c r="R82" s="29">
        <v>-10.56761267485728</v>
      </c>
      <c r="S82" s="29">
        <v>-7.3752902801202067</v>
      </c>
      <c r="T82" s="29">
        <v>-14.741072380205953</v>
      </c>
      <c r="U82" s="29">
        <v>-17.187589173937322</v>
      </c>
      <c r="V82" s="29">
        <v>-22.491510286385832</v>
      </c>
      <c r="W82" s="1"/>
      <c r="X82" s="18">
        <f t="shared" si="19"/>
        <v>-21.051201345613372</v>
      </c>
      <c r="Y82" s="18">
        <f t="shared" si="11"/>
        <v>-11.034533542535742</v>
      </c>
      <c r="Z82" s="18">
        <f t="shared" si="12"/>
        <v>-11.034017533491271</v>
      </c>
      <c r="AA82" s="18">
        <f t="shared" si="13"/>
        <v>-13.482978081894402</v>
      </c>
      <c r="AB82" s="18">
        <f t="shared" si="14"/>
        <v>-10.87472584833198</v>
      </c>
      <c r="AC82" s="18">
        <f t="shared" si="15"/>
        <v>-10.951243219440741</v>
      </c>
      <c r="AD82" s="18">
        <f t="shared" si="16"/>
        <v>-17.952160399943988</v>
      </c>
      <c r="AE82" s="18">
        <f t="shared" si="17"/>
        <v>-18.603661791627285</v>
      </c>
    </row>
    <row r="83" spans="1:31" x14ac:dyDescent="0.15">
      <c r="A83">
        <f t="shared" si="18"/>
        <v>9</v>
      </c>
      <c r="B83" s="29">
        <v>-1.206580368827291E-10</v>
      </c>
      <c r="C83" s="29">
        <v>3.112255435884032E-3</v>
      </c>
      <c r="D83" s="29">
        <v>-7.2442789833368531E-5</v>
      </c>
      <c r="E83" s="29">
        <v>2.8949920203678972E-5</v>
      </c>
      <c r="F83" s="29">
        <v>7.3218510368957738E-5</v>
      </c>
      <c r="G83" s="29">
        <v>-3.5317081777913037E-7</v>
      </c>
      <c r="H83" s="29">
        <v>6.8911400631166835E-8</v>
      </c>
      <c r="I83" s="29">
        <v>-1.7342068150421526E-10</v>
      </c>
      <c r="J83" s="29">
        <v>-7.244296325404991E-5</v>
      </c>
      <c r="K83" s="29">
        <v>7.2865339551178639E-5</v>
      </c>
      <c r="L83" s="29">
        <v>-3.5317081777913037E-7</v>
      </c>
      <c r="M83" s="29">
        <v>-6.8911400631166835E-8</v>
      </c>
      <c r="N83" s="29">
        <v>-1.7342068150421526E-10</v>
      </c>
      <c r="O83" s="29">
        <v>-19.019204736757597</v>
      </c>
      <c r="P83" s="29">
        <v>-5.7724075443543272</v>
      </c>
      <c r="Q83" s="29">
        <v>-5.7531642887007193</v>
      </c>
      <c r="R83" s="29">
        <v>-10.442740322598665</v>
      </c>
      <c r="S83" s="29">
        <v>-8.2584295056975563</v>
      </c>
      <c r="T83" s="29">
        <v>-16.632223183619271</v>
      </c>
      <c r="U83" s="29">
        <v>-16.17957759610136</v>
      </c>
      <c r="V83" s="29">
        <v>-24.507851969124189</v>
      </c>
      <c r="W83" s="1"/>
      <c r="X83" s="18">
        <f t="shared" si="19"/>
        <v>-22.234388112148139</v>
      </c>
      <c r="Y83" s="18">
        <f t="shared" si="11"/>
        <v>-13.866666415919143</v>
      </c>
      <c r="Z83" s="18">
        <f t="shared" si="12"/>
        <v>-13.867841988921795</v>
      </c>
      <c r="AA83" s="18">
        <f t="shared" si="13"/>
        <v>-12.635691647071273</v>
      </c>
      <c r="AB83" s="18">
        <f t="shared" si="14"/>
        <v>-12.092767501236604</v>
      </c>
      <c r="AC83" s="18">
        <f t="shared" si="15"/>
        <v>-12.962763323559772</v>
      </c>
      <c r="AD83" s="18">
        <f t="shared" si="16"/>
        <v>-16.944411999960732</v>
      </c>
      <c r="AE83" s="18">
        <f t="shared" si="17"/>
        <v>-20.613253733427356</v>
      </c>
    </row>
    <row r="84" spans="1:31" x14ac:dyDescent="0.15">
      <c r="A84">
        <f t="shared" si="18"/>
        <v>10</v>
      </c>
      <c r="B84" s="29">
        <v>-9.8049538099648592E-11</v>
      </c>
      <c r="C84" s="29">
        <v>3.1044100855840929E-3</v>
      </c>
      <c r="D84" s="29">
        <v>-6.4597589368000778E-5</v>
      </c>
      <c r="E84" s="29">
        <v>3.6981881174689297E-5</v>
      </c>
      <c r="F84" s="29">
        <v>6.487927101852018E-5</v>
      </c>
      <c r="G84" s="29">
        <v>-4.5892438351880408E-8</v>
      </c>
      <c r="H84" s="29">
        <v>1.8975155205796835E-7</v>
      </c>
      <c r="I84" s="29">
        <v>-2.3586109831948704E-11</v>
      </c>
      <c r="J84" s="29">
        <v>-6.4597612954110515E-5</v>
      </c>
      <c r="K84" s="29">
        <v>6.4833378580168429E-5</v>
      </c>
      <c r="L84" s="29">
        <v>-4.5892438351880408E-8</v>
      </c>
      <c r="M84" s="29">
        <v>-1.8975155205796835E-7</v>
      </c>
      <c r="N84" s="29">
        <v>-2.3586109831948704E-11</v>
      </c>
      <c r="O84" s="29">
        <v>-20.037044176847406</v>
      </c>
      <c r="P84" s="29">
        <v>-5.7749283875116291</v>
      </c>
      <c r="Q84" s="29">
        <v>-6.7735245719478279</v>
      </c>
      <c r="R84" s="29">
        <v>-10.174465132504814</v>
      </c>
      <c r="S84" s="29">
        <v>-9.0079937556935175</v>
      </c>
      <c r="T84" s="29">
        <v>-18.399626873705035</v>
      </c>
      <c r="U84" s="29">
        <v>-15.161738156011547</v>
      </c>
      <c r="V84" s="29">
        <v>-26.546051692461102</v>
      </c>
      <c r="W84" s="1"/>
      <c r="X84" s="18">
        <f t="shared" si="19"/>
        <v>-24.512695227991575</v>
      </c>
      <c r="Y84" s="18">
        <f t="shared" si="11"/>
        <v>-11.755589520138951</v>
      </c>
      <c r="Z84" s="18">
        <f t="shared" si="12"/>
        <v>-11.75560861884027</v>
      </c>
      <c r="AA84" s="18">
        <f t="shared" si="13"/>
        <v>-11.732081854213668</v>
      </c>
      <c r="AB84" s="18">
        <f t="shared" si="14"/>
        <v>-11.694538550736553</v>
      </c>
      <c r="AC84" s="18">
        <f t="shared" si="15"/>
        <v>-14.99551172685117</v>
      </c>
      <c r="AD84" s="18">
        <f t="shared" si="16"/>
        <v>-15.92879722731054</v>
      </c>
      <c r="AE84" s="18">
        <f t="shared" si="17"/>
        <v>-22.621489285943163</v>
      </c>
    </row>
    <row r="85" spans="1:31" x14ac:dyDescent="0.15">
      <c r="A85">
        <f t="shared" si="18"/>
        <v>11</v>
      </c>
      <c r="B85" s="29">
        <v>-7.033993460464283E-11</v>
      </c>
      <c r="C85" s="29">
        <v>3.0868040187781312E-3</v>
      </c>
      <c r="D85" s="29">
        <v>-4.6991542962391801E-5</v>
      </c>
      <c r="E85" s="29">
        <v>5.4287375251453937E-5</v>
      </c>
      <c r="F85" s="29">
        <v>4.7534493667750487E-5</v>
      </c>
      <c r="G85" s="29">
        <v>-6.6091643467973884E-9</v>
      </c>
      <c r="H85" s="29">
        <v>5.2965566521660675E-7</v>
      </c>
      <c r="I85" s="29">
        <v>-3.1857569850646246E-12</v>
      </c>
      <c r="J85" s="29">
        <v>-4.6991546148148758E-5</v>
      </c>
      <c r="K85" s="29">
        <v>4.7527884503403714E-5</v>
      </c>
      <c r="L85" s="29">
        <v>-6.6091643467973884E-9</v>
      </c>
      <c r="M85" s="29">
        <v>-5.2965566521660675E-7</v>
      </c>
      <c r="N85" s="29">
        <v>-3.1857569850646246E-12</v>
      </c>
      <c r="O85" s="29">
        <v>-21.072458559902078</v>
      </c>
      <c r="P85" s="29">
        <v>-5.7806028604705535</v>
      </c>
      <c r="Q85" s="29">
        <v>-7.8146134279614232</v>
      </c>
      <c r="R85" s="29">
        <v>-9.7507834157742863</v>
      </c>
      <c r="S85" s="29">
        <v>-9.6197264220176582</v>
      </c>
      <c r="T85" s="29">
        <v>-20.046773923083848</v>
      </c>
      <c r="U85" s="29">
        <v>-14.126323772956882</v>
      </c>
      <c r="V85" s="29">
        <v>-28.622554931529368</v>
      </c>
      <c r="W85" s="1"/>
      <c r="X85" s="18">
        <f t="shared" si="19"/>
        <v>-24.309242066250018</v>
      </c>
      <c r="Y85" s="18">
        <f t="shared" si="11"/>
        <v>-10.947267010433061</v>
      </c>
      <c r="Z85" s="18">
        <f t="shared" si="12"/>
        <v>-10.947268169145268</v>
      </c>
      <c r="AA85" s="18">
        <f t="shared" si="13"/>
        <v>-10.964486530185747</v>
      </c>
      <c r="AB85" s="18">
        <f t="shared" si="14"/>
        <v>-10.962219114132894</v>
      </c>
      <c r="AC85" s="18">
        <f t="shared" si="15"/>
        <v>-17.052467006498695</v>
      </c>
      <c r="AD85" s="18">
        <f t="shared" si="16"/>
        <v>-14.894602279233009</v>
      </c>
      <c r="AE85" s="18">
        <f t="shared" si="17"/>
        <v>-24.615468918812073</v>
      </c>
    </row>
    <row r="86" spans="1:31" x14ac:dyDescent="0.15">
      <c r="A86">
        <f t="shared" si="18"/>
        <v>12</v>
      </c>
      <c r="B86" s="29">
        <v>-2.9562025613233842E-11</v>
      </c>
      <c r="C86" s="29">
        <v>3.0602217818906548E-3</v>
      </c>
      <c r="D86" s="29">
        <v>-2.0409308855392247E-5</v>
      </c>
      <c r="E86" s="29">
        <v>7.9908099900654462E-5</v>
      </c>
      <c r="F86" s="29">
        <v>2.1908560328000498E-5</v>
      </c>
      <c r="G86" s="29">
        <v>-1.4004737972552946E-9</v>
      </c>
      <c r="H86" s="29">
        <v>1.4964201524270135E-6</v>
      </c>
      <c r="I86" s="29">
        <v>-4.0528062789977577E-13</v>
      </c>
      <c r="J86" s="29">
        <v>-2.0409309260672759E-5</v>
      </c>
      <c r="K86" s="29">
        <v>2.1907159854203251E-5</v>
      </c>
      <c r="L86" s="29">
        <v>-1.4004737972552946E-9</v>
      </c>
      <c r="M86" s="29">
        <v>-1.4964201524270135E-6</v>
      </c>
      <c r="N86" s="29">
        <v>-4.0528062789977577E-13</v>
      </c>
      <c r="O86" s="29">
        <v>-22.114375219259834</v>
      </c>
      <c r="P86" s="29">
        <v>-5.7892304547497835</v>
      </c>
      <c r="Q86" s="29">
        <v>-8.8651576815984132</v>
      </c>
      <c r="R86" s="29">
        <v>-9.3789472891670052</v>
      </c>
      <c r="S86" s="29">
        <v>-10.289806954768135</v>
      </c>
      <c r="T86" s="29">
        <v>-21.75877111519209</v>
      </c>
      <c r="U86" s="29">
        <v>-13.084407113599115</v>
      </c>
      <c r="V86" s="29">
        <v>-30.71501584452411</v>
      </c>
      <c r="W86" s="1"/>
      <c r="X86" s="18">
        <f t="shared" si="19"/>
        <v>-23.922880627442403</v>
      </c>
      <c r="Y86" s="18">
        <f t="shared" si="11"/>
        <v>-10.535267351430225</v>
      </c>
      <c r="Z86" s="18">
        <f t="shared" si="12"/>
        <v>-10.535267456029286</v>
      </c>
      <c r="AA86" s="18">
        <f t="shared" si="13"/>
        <v>-10.572108977383564</v>
      </c>
      <c r="AB86" s="18">
        <f t="shared" si="14"/>
        <v>-10.571905698154371</v>
      </c>
      <c r="AC86" s="18">
        <f t="shared" si="15"/>
        <v>-19.072937346831853</v>
      </c>
      <c r="AD86" s="18">
        <f t="shared" si="16"/>
        <v>-13.849310921093752</v>
      </c>
      <c r="AE86" s="18">
        <f t="shared" si="17"/>
        <v>-26.608398851406847</v>
      </c>
    </row>
    <row r="87" spans="1:31" x14ac:dyDescent="0.15">
      <c r="A87">
        <f t="shared" si="18"/>
        <v>13</v>
      </c>
      <c r="B87" s="29">
        <v>1.382021851720924E-13</v>
      </c>
      <c r="C87" s="29">
        <v>3.0406428188765188E-3</v>
      </c>
      <c r="D87" s="29">
        <v>-8.3034620048341451E-7</v>
      </c>
      <c r="E87" s="29">
        <v>9.683102155282766E-5</v>
      </c>
      <c r="F87" s="29">
        <v>4.9845409661789662E-6</v>
      </c>
      <c r="G87" s="29">
        <v>-3.0276414904382758E-10</v>
      </c>
      <c r="H87" s="29">
        <v>4.1535892834931296E-6</v>
      </c>
      <c r="I87" s="29">
        <v>-4.6053307118768128E-14</v>
      </c>
      <c r="J87" s="29">
        <v>-8.3034624653673085E-7</v>
      </c>
      <c r="K87" s="29">
        <v>4.9842382020300222E-6</v>
      </c>
      <c r="L87" s="29">
        <v>-3.0276414904382758E-10</v>
      </c>
      <c r="M87" s="29">
        <v>-4.1535892834931296E-6</v>
      </c>
      <c r="N87" s="29">
        <v>-4.6053307118768128E-14</v>
      </c>
      <c r="O87" s="29">
        <v>-23.113819742625608</v>
      </c>
      <c r="P87" s="29">
        <v>-5.7956655379344113</v>
      </c>
      <c r="Q87" s="29">
        <v>-9.8710372881488109</v>
      </c>
      <c r="R87" s="29">
        <v>-9.232802280693182</v>
      </c>
      <c r="S87" s="29">
        <v>-11.143106469660086</v>
      </c>
      <c r="T87" s="29">
        <v>-23.611515153449805</v>
      </c>
      <c r="U87" s="29">
        <v>-12.084962590233349</v>
      </c>
      <c r="V87" s="29">
        <v>-32.720339974440293</v>
      </c>
      <c r="W87" s="1"/>
      <c r="X87" s="18">
        <f t="shared" si="19"/>
        <v>-24.239866400169312</v>
      </c>
      <c r="Y87" s="18">
        <f t="shared" si="11"/>
        <v>-10.841054883748789</v>
      </c>
      <c r="Z87" s="18">
        <f t="shared" si="12"/>
        <v>-10.841054902096401</v>
      </c>
      <c r="AA87" s="18">
        <f t="shared" si="13"/>
        <v>-10.986841544214398</v>
      </c>
      <c r="AB87" s="18">
        <f t="shared" si="14"/>
        <v>-10.986776681061874</v>
      </c>
      <c r="AC87" s="18">
        <f t="shared" si="15"/>
        <v>-20.63003996579457</v>
      </c>
      <c r="AD87" s="18">
        <f t="shared" si="16"/>
        <v>-12.838249238313683</v>
      </c>
      <c r="AE87" s="18">
        <f t="shared" si="17"/>
        <v>-28.654821001294305</v>
      </c>
    </row>
    <row r="88" spans="1:31" x14ac:dyDescent="0.15">
      <c r="A88">
        <f t="shared" si="18"/>
        <v>14</v>
      </c>
      <c r="B88" s="29">
        <v>1.4302216596276653E-11</v>
      </c>
      <c r="C88" s="29">
        <v>3.0318958893084894E-3</v>
      </c>
      <c r="D88" s="29">
        <v>7.9165833257292235E-6</v>
      </c>
      <c r="E88" s="29">
        <v>9.9325732948558565E-5</v>
      </c>
      <c r="F88" s="29">
        <v>2.4895642096423986E-6</v>
      </c>
      <c r="G88" s="29">
        <v>-3.7403343364866847E-11</v>
      </c>
      <c r="H88" s="29">
        <v>1.0406087022428451E-5</v>
      </c>
      <c r="I88" s="29">
        <v>-4.236513188108243E-15</v>
      </c>
      <c r="J88" s="29">
        <v>7.916583321492673E-6</v>
      </c>
      <c r="K88" s="29">
        <v>2.4895268062990773E-6</v>
      </c>
      <c r="L88" s="29">
        <v>-3.7403343364866847E-11</v>
      </c>
      <c r="M88" s="29">
        <v>-1.0406087022428451E-5</v>
      </c>
      <c r="N88" s="29">
        <v>-4.236513188108243E-15</v>
      </c>
      <c r="O88" s="29">
        <v>-23.957646106271138</v>
      </c>
      <c r="P88" s="29">
        <v>-5.7985629434858694</v>
      </c>
      <c r="Q88" s="29">
        <v>-10.717761057345804</v>
      </c>
      <c r="R88" s="29">
        <v>-9.2169820413742762</v>
      </c>
      <c r="S88" s="29">
        <v>-11.971112593986716</v>
      </c>
      <c r="T88" s="29">
        <v>-25.283347641421972</v>
      </c>
      <c r="U88" s="29">
        <v>-11.241136226587813</v>
      </c>
      <c r="V88" s="29">
        <v>-34.410890107282817</v>
      </c>
      <c r="W88" s="1"/>
      <c r="X88" s="18">
        <f t="shared" si="19"/>
        <v>-24.980316564233451</v>
      </c>
      <c r="Y88" s="18">
        <f t="shared" si="11"/>
        <v>-11.64680782568778</v>
      </c>
      <c r="Z88" s="18">
        <f t="shared" si="12"/>
        <v>-11.646807830468509</v>
      </c>
      <c r="AA88" s="18">
        <f t="shared" si="13"/>
        <v>-12.901337508505181</v>
      </c>
      <c r="AB88" s="18">
        <f t="shared" si="14"/>
        <v>-12.901231144821594</v>
      </c>
      <c r="AC88" s="18">
        <f t="shared" si="15"/>
        <v>-22.049930685121009</v>
      </c>
      <c r="AD88" s="18">
        <f t="shared" si="16"/>
        <v>-11.982529535820401</v>
      </c>
      <c r="AE88" s="18">
        <f t="shared" si="17"/>
        <v>-30.805478367391324</v>
      </c>
    </row>
    <row r="89" spans="1:31" x14ac:dyDescent="0.15">
      <c r="A89">
        <f t="shared" si="18"/>
        <v>15</v>
      </c>
      <c r="B89" s="29">
        <v>2.4980292392506466E-11</v>
      </c>
      <c r="C89" s="29">
        <v>3.025809285922582E-3</v>
      </c>
      <c r="D89" s="29">
        <v>1.4003186707069782E-5</v>
      </c>
      <c r="E89" s="29">
        <v>9.7895797075529871E-5</v>
      </c>
      <c r="F89" s="29">
        <v>3.9194600220342002E-6</v>
      </c>
      <c r="G89" s="29">
        <v>2.6572936052480853E-12</v>
      </c>
      <c r="H89" s="29">
        <v>1.7922677024646057E-5</v>
      </c>
      <c r="I89" s="29">
        <v>3.3123050395190872E-16</v>
      </c>
      <c r="J89" s="29">
        <v>1.4003186707401008E-5</v>
      </c>
      <c r="K89" s="29">
        <v>3.9194626793277926E-6</v>
      </c>
      <c r="L89" s="29">
        <v>2.6572936052480853E-12</v>
      </c>
      <c r="M89" s="29">
        <v>-1.7922677024646057E-5</v>
      </c>
      <c r="N89" s="29">
        <v>3.3123050395190872E-16</v>
      </c>
      <c r="O89" s="29">
        <v>-24.323380706509884</v>
      </c>
      <c r="P89" s="29">
        <v>-5.8005746645147127</v>
      </c>
      <c r="Q89" s="29">
        <v>-11.085507378613391</v>
      </c>
      <c r="R89" s="29">
        <v>-9.2315005157558101</v>
      </c>
      <c r="S89" s="29">
        <v>-12.351365668606988</v>
      </c>
      <c r="T89" s="29">
        <v>-26.029335316280992</v>
      </c>
      <c r="U89" s="29">
        <v>-10.87540162634907</v>
      </c>
      <c r="V89" s="29">
        <v>-35.144371028789145</v>
      </c>
      <c r="W89" s="1"/>
      <c r="X89" s="18">
        <f t="shared" si="19"/>
        <v>-25.262828467521203</v>
      </c>
      <c r="Y89" s="18">
        <f t="shared" si="11"/>
        <v>-12.009420368139418</v>
      </c>
      <c r="Z89" s="18">
        <f t="shared" si="12"/>
        <v>-12.00942036888973</v>
      </c>
      <c r="AA89" s="18">
        <f t="shared" si="13"/>
        <v>-13.45788095873386</v>
      </c>
      <c r="AB89" s="18">
        <f t="shared" si="14"/>
        <v>-13.457908974814037</v>
      </c>
      <c r="AC89" s="18">
        <f t="shared" si="15"/>
        <v>-23.940626885415018</v>
      </c>
      <c r="AD89" s="18">
        <f t="shared" si="16"/>
        <v>-11.798397979997224</v>
      </c>
      <c r="AE89" s="18">
        <f t="shared" si="17"/>
        <v>-33.019757033575097</v>
      </c>
    </row>
    <row r="90" spans="1:31" x14ac:dyDescent="0.15">
      <c r="A90">
        <f t="shared" si="18"/>
        <v>16</v>
      </c>
      <c r="B90" s="29">
        <v>2.6811009165076774E-11</v>
      </c>
      <c r="C90" s="29">
        <v>3.024770815267024E-3</v>
      </c>
      <c r="D90" s="29">
        <v>1.5041657362420278E-5</v>
      </c>
      <c r="E90" s="29">
        <v>9.7586190973968082E-5</v>
      </c>
      <c r="F90" s="29">
        <v>4.229064020805615E-6</v>
      </c>
      <c r="G90" s="29">
        <v>4.76008395387266E-12</v>
      </c>
      <c r="H90" s="29">
        <v>1.9270757715478957E-5</v>
      </c>
      <c r="I90" s="29">
        <v>5.3799807599516856E-16</v>
      </c>
      <c r="J90" s="29">
        <v>1.5041657362958257E-5</v>
      </c>
      <c r="K90" s="29">
        <v>4.2290687808895706E-6</v>
      </c>
      <c r="L90" s="29">
        <v>4.76008395387266E-12</v>
      </c>
      <c r="M90" s="29">
        <v>-1.9270757715478957E-5</v>
      </c>
      <c r="N90" s="29">
        <v>5.3799807599516856E-16</v>
      </c>
      <c r="O90" s="29">
        <v>-24.342032387062044</v>
      </c>
      <c r="P90" s="29">
        <v>-5.8009198943121003</v>
      </c>
      <c r="Q90" s="29">
        <v>-11.104504288962934</v>
      </c>
      <c r="R90" s="29">
        <v>-9.2347692066379103</v>
      </c>
      <c r="S90" s="29">
        <v>-12.373286040041252</v>
      </c>
      <c r="T90" s="29">
        <v>-26.069907368267405</v>
      </c>
      <c r="U90" s="29">
        <v>-10.856749945796912</v>
      </c>
      <c r="V90" s="29">
        <v>-35.182019619690841</v>
      </c>
      <c r="W90" s="1"/>
      <c r="X90" s="18">
        <f t="shared" si="19"/>
        <v>-27.026313546761248</v>
      </c>
      <c r="Y90" s="18">
        <f t="shared" si="11"/>
        <v>-13.777761450593735</v>
      </c>
      <c r="Z90" s="18">
        <f t="shared" si="12"/>
        <v>-13.777761450793561</v>
      </c>
      <c r="AA90" s="18">
        <f t="shared" si="13"/>
        <v>-14.987964987538122</v>
      </c>
      <c r="AB90" s="18">
        <f t="shared" si="14"/>
        <v>-14.987971779385907</v>
      </c>
      <c r="AC90" s="18">
        <f t="shared" si="15"/>
        <v>-26.887755915749288</v>
      </c>
      <c r="AD90" s="18">
        <f t="shared" si="16"/>
        <v>-13.516828687597354</v>
      </c>
      <c r="AE90" s="18">
        <f t="shared" si="17"/>
        <v>-36.114936351855704</v>
      </c>
    </row>
    <row r="91" spans="1:31" x14ac:dyDescent="0.15">
      <c r="A91">
        <f t="shared" si="18"/>
        <v>17</v>
      </c>
      <c r="B91" s="29">
        <v>2.6815458654637392E-11</v>
      </c>
      <c r="C91" s="29">
        <v>3.0247682330654686E-3</v>
      </c>
      <c r="D91" s="29">
        <v>1.5044239563973441E-5</v>
      </c>
      <c r="E91" s="29">
        <v>9.7585265578674309E-5</v>
      </c>
      <c r="F91" s="29">
        <v>4.2299894122326006E-6</v>
      </c>
      <c r="G91" s="29">
        <v>4.7639507686354665E-12</v>
      </c>
      <c r="H91" s="29">
        <v>1.9274265320648046E-5</v>
      </c>
      <c r="I91" s="29">
        <v>5.4092271175227112E-16</v>
      </c>
      <c r="J91" s="29">
        <v>1.5044239564514361E-5</v>
      </c>
      <c r="K91" s="29">
        <v>4.2299941761833507E-6</v>
      </c>
      <c r="L91" s="29">
        <v>4.7639507686354665E-12</v>
      </c>
      <c r="M91" s="29">
        <v>-1.9274265320648046E-5</v>
      </c>
      <c r="N91" s="29">
        <v>5.4092271175227112E-16</v>
      </c>
      <c r="O91" s="29">
        <v>-24.342042578009298</v>
      </c>
      <c r="P91" s="29">
        <v>-5.8009208076026022</v>
      </c>
      <c r="Q91" s="29">
        <v>-11.104515393200689</v>
      </c>
      <c r="R91" s="29">
        <v>-9.2347840432635202</v>
      </c>
      <c r="S91" s="29">
        <v>-12.373311067614106</v>
      </c>
      <c r="T91" s="29">
        <v>-26.069942586787516</v>
      </c>
      <c r="U91" s="29">
        <v>-10.856739754849656</v>
      </c>
      <c r="V91" s="29">
        <v>-35.182040914875842</v>
      </c>
      <c r="W91" s="1"/>
      <c r="X91" s="18">
        <f t="shared" si="19"/>
        <v>-33.045987010790697</v>
      </c>
      <c r="Y91" s="18">
        <f t="shared" si="11"/>
        <v>-19.774623485816704</v>
      </c>
      <c r="Z91" s="18">
        <f t="shared" si="12"/>
        <v>-19.774623486699753</v>
      </c>
      <c r="AA91" s="18">
        <f t="shared" si="13"/>
        <v>-20.800800125082123</v>
      </c>
      <c r="AB91" s="18">
        <f t="shared" si="14"/>
        <v>-20.800804303616065</v>
      </c>
      <c r="AC91" s="18">
        <f t="shared" si="15"/>
        <v>-33.186345285474104</v>
      </c>
      <c r="AD91" s="18">
        <f t="shared" si="16"/>
        <v>-19.468332320341752</v>
      </c>
      <c r="AE91" s="18">
        <f t="shared" si="17"/>
        <v>-40.373361728449495</v>
      </c>
    </row>
    <row r="92" spans="1:31" x14ac:dyDescent="0.15">
      <c r="B92">
        <v>2.6815458647259662E-11</v>
      </c>
      <c r="C92">
        <v>3.0247682330648311E-3</v>
      </c>
      <c r="D92">
        <v>1.504423956461312E-5</v>
      </c>
      <c r="E92">
        <v>9.7585265577936956E-5</v>
      </c>
      <c r="F92">
        <v>4.2299894129836639E-6</v>
      </c>
      <c r="G92">
        <v>4.7639370319612333E-12</v>
      </c>
      <c r="H92">
        <v>1.9274265322006643E-5</v>
      </c>
      <c r="I92">
        <v>5.385565149527745E-16</v>
      </c>
      <c r="J92">
        <v>1.5044239565151696E-5</v>
      </c>
      <c r="K92">
        <v>4.2299941769207157E-6</v>
      </c>
      <c r="L92">
        <v>4.7639370319612333E-12</v>
      </c>
      <c r="M92">
        <v>-1.9274265322006643E-5</v>
      </c>
      <c r="N92">
        <v>5.385565149527745E-16</v>
      </c>
      <c r="O92">
        <v>-24.342042578027854</v>
      </c>
      <c r="P92">
        <v>-5.8009208076032301</v>
      </c>
      <c r="Q92">
        <v>-11.104515393219877</v>
      </c>
      <c r="R92">
        <v>-9.2347840433810067</v>
      </c>
      <c r="S92">
        <v>-12.37331106775016</v>
      </c>
      <c r="T92">
        <v>-26.069942586942137</v>
      </c>
      <c r="U92">
        <v>-10.856739754831096</v>
      </c>
      <c r="V92">
        <v>-35.182040914913593</v>
      </c>
    </row>
    <row r="120" spans="1:10" x14ac:dyDescent="0.15">
      <c r="A120" s="9" t="s">
        <v>2</v>
      </c>
      <c r="B120" s="32" t="s">
        <v>7</v>
      </c>
      <c r="C120" s="32" t="s">
        <v>8</v>
      </c>
      <c r="D120" s="32" t="s">
        <v>9</v>
      </c>
      <c r="E120" s="32" t="s">
        <v>10</v>
      </c>
      <c r="F120" s="32" t="s">
        <v>11</v>
      </c>
      <c r="G120" s="32" t="s">
        <v>12</v>
      </c>
      <c r="H120" s="32" t="s">
        <v>13</v>
      </c>
      <c r="I120" s="32" t="s">
        <v>57</v>
      </c>
      <c r="J120" s="32" t="s">
        <v>124</v>
      </c>
    </row>
    <row r="121" spans="1:10" x14ac:dyDescent="0.15">
      <c r="A121" t="s">
        <v>3</v>
      </c>
      <c r="B121" s="33">
        <v>1</v>
      </c>
      <c r="C121" s="33">
        <v>1</v>
      </c>
      <c r="D121" s="33">
        <v>-1</v>
      </c>
      <c r="E121" s="33"/>
      <c r="F121" s="33"/>
      <c r="G121" s="33"/>
      <c r="H121" s="33"/>
      <c r="I121" s="34"/>
      <c r="J121" s="33">
        <v>-1</v>
      </c>
    </row>
    <row r="122" spans="1:10" x14ac:dyDescent="0.15">
      <c r="A122" t="s">
        <v>4</v>
      </c>
      <c r="B122" s="33">
        <v>1</v>
      </c>
      <c r="C122" s="33"/>
      <c r="D122" s="33"/>
      <c r="E122" s="33">
        <v>1</v>
      </c>
      <c r="F122" s="33">
        <v>-1</v>
      </c>
      <c r="G122" s="33"/>
      <c r="H122" s="33"/>
      <c r="I122" s="34"/>
      <c r="J122" s="33"/>
    </row>
    <row r="123" spans="1:10" x14ac:dyDescent="0.15">
      <c r="A123" t="s">
        <v>5</v>
      </c>
      <c r="B123" s="33">
        <v>1</v>
      </c>
      <c r="C123" s="33"/>
      <c r="D123" s="33"/>
      <c r="E123" s="33"/>
      <c r="F123" s="33">
        <v>1</v>
      </c>
      <c r="G123" s="33">
        <v>-1</v>
      </c>
      <c r="H123" s="33"/>
      <c r="I123" s="34"/>
      <c r="J123" s="33">
        <v>-1</v>
      </c>
    </row>
    <row r="124" spans="1:10" x14ac:dyDescent="0.15">
      <c r="A124" t="s">
        <v>6</v>
      </c>
      <c r="B124" s="33">
        <v>1</v>
      </c>
      <c r="C124" s="33"/>
      <c r="D124" s="33"/>
      <c r="E124" s="33"/>
      <c r="F124" s="33"/>
      <c r="G124" s="33"/>
      <c r="H124" s="33">
        <v>1</v>
      </c>
      <c r="I124" s="34"/>
      <c r="J124" s="33">
        <v>-1</v>
      </c>
    </row>
    <row r="125" spans="1:10" x14ac:dyDescent="0.15">
      <c r="A125" t="s">
        <v>55</v>
      </c>
      <c r="B125" s="33">
        <v>1</v>
      </c>
      <c r="C125" s="33"/>
      <c r="D125" s="33">
        <v>1</v>
      </c>
      <c r="E125" s="33"/>
      <c r="F125" s="33"/>
      <c r="G125" s="33"/>
      <c r="H125" s="33"/>
      <c r="I125" s="33">
        <v>-1</v>
      </c>
      <c r="J125" s="33">
        <v>-1</v>
      </c>
    </row>
  </sheetData>
  <pageMargins left="0.75" right="0.75" top="1" bottom="1" header="0.5" footer="0.5"/>
  <pageSetup paperSize="4" scale="70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A1:AT38"/>
  <sheetViews>
    <sheetView topLeftCell="A7" workbookViewId="0">
      <pane xSplit="11740" ySplit="1540" topLeftCell="AR1" activePane="bottomLeft"/>
      <selection activeCell="B19" sqref="B19:S19"/>
      <selection pane="topRight" activeCell="M15" sqref="M15"/>
      <selection pane="bottomLeft" activeCell="B19" sqref="B19:S19"/>
      <selection pane="bottomRight" activeCell="AS28" sqref="AS28"/>
    </sheetView>
  </sheetViews>
  <sheetFormatPr baseColWidth="10" defaultColWidth="8.83203125" defaultRowHeight="13" x14ac:dyDescent="0.15"/>
  <cols>
    <col min="1" max="1" width="35.33203125" customWidth="1"/>
    <col min="2" max="4" width="11.83203125" customWidth="1"/>
    <col min="5" max="8" width="11.5" bestFit="1" customWidth="1"/>
    <col min="9" max="11" width="9.5" bestFit="1" customWidth="1"/>
    <col min="12" max="12" width="17.6640625" bestFit="1" customWidth="1"/>
    <col min="13" max="19" width="9.5" bestFit="1" customWidth="1"/>
    <col min="21" max="21" width="13" bestFit="1" customWidth="1"/>
  </cols>
  <sheetData>
    <row r="1" spans="1:19" ht="16" x14ac:dyDescent="0.2">
      <c r="A1" s="12" t="s">
        <v>0</v>
      </c>
    </row>
    <row r="2" spans="1:19" x14ac:dyDescent="0.15">
      <c r="A2" s="10" t="s">
        <v>1</v>
      </c>
    </row>
    <row r="3" spans="1:19" x14ac:dyDescent="0.15">
      <c r="A3" s="11">
        <v>38553</v>
      </c>
    </row>
    <row r="5" spans="1:19" ht="16" x14ac:dyDescent="0.2">
      <c r="E5" s="14" t="s">
        <v>51</v>
      </c>
    </row>
    <row r="6" spans="1:19" x14ac:dyDescent="0.15">
      <c r="B6" s="13"/>
      <c r="C6" s="13"/>
      <c r="D6" s="13"/>
      <c r="E6" s="9" t="s">
        <v>50</v>
      </c>
      <c r="F6" s="13"/>
      <c r="G6" s="13"/>
      <c r="H6" s="13"/>
      <c r="I6" s="13"/>
      <c r="J6" s="13"/>
      <c r="K6" s="13"/>
    </row>
    <row r="7" spans="1:19" x14ac:dyDescent="0.15">
      <c r="A7" s="9" t="s">
        <v>2</v>
      </c>
      <c r="B7" s="13" t="s">
        <v>52</v>
      </c>
      <c r="C7" s="13" t="s">
        <v>18</v>
      </c>
      <c r="D7" s="13" t="s">
        <v>19</v>
      </c>
      <c r="E7" s="13" t="s">
        <v>7</v>
      </c>
      <c r="F7" s="13" t="s">
        <v>8</v>
      </c>
      <c r="G7" s="13" t="s">
        <v>9</v>
      </c>
      <c r="H7" s="13" t="s">
        <v>10</v>
      </c>
      <c r="I7" s="13" t="s">
        <v>11</v>
      </c>
      <c r="J7" s="13" t="s">
        <v>12</v>
      </c>
      <c r="K7" s="13" t="s">
        <v>13</v>
      </c>
    </row>
    <row r="8" spans="1:19" x14ac:dyDescent="0.15">
      <c r="A8" t="s">
        <v>3</v>
      </c>
      <c r="B8" s="2" t="s">
        <v>14</v>
      </c>
      <c r="C8" s="4">
        <v>11000000</v>
      </c>
      <c r="D8" s="5">
        <f>LN(C8)</f>
        <v>16.213405830762646</v>
      </c>
      <c r="E8" s="2">
        <v>1</v>
      </c>
      <c r="F8" s="2">
        <v>1</v>
      </c>
      <c r="G8" s="2">
        <v>-1</v>
      </c>
      <c r="H8" s="2"/>
      <c r="I8" s="2"/>
      <c r="J8" s="2"/>
      <c r="K8" s="2"/>
    </row>
    <row r="9" spans="1:19" x14ac:dyDescent="0.15">
      <c r="A9" t="s">
        <v>4</v>
      </c>
      <c r="B9" s="2" t="s">
        <v>15</v>
      </c>
      <c r="C9" s="4">
        <v>42000000</v>
      </c>
      <c r="D9" s="5">
        <f>LN(C9)</f>
        <v>17.553180176247643</v>
      </c>
      <c r="E9" s="2">
        <v>1</v>
      </c>
      <c r="F9" s="2"/>
      <c r="G9" s="2"/>
      <c r="H9" s="2">
        <v>1</v>
      </c>
      <c r="I9" s="2">
        <v>-1</v>
      </c>
      <c r="J9" s="2"/>
      <c r="K9" s="2"/>
    </row>
    <row r="10" spans="1:19" x14ac:dyDescent="0.15">
      <c r="A10" t="s">
        <v>5</v>
      </c>
      <c r="B10" s="2" t="s">
        <v>16</v>
      </c>
      <c r="C10" s="4">
        <v>4800</v>
      </c>
      <c r="D10" s="5">
        <f>LN(C10)</f>
        <v>8.4763711968959825</v>
      </c>
      <c r="E10" s="2">
        <v>1</v>
      </c>
      <c r="F10" s="2"/>
      <c r="G10" s="2"/>
      <c r="H10" s="2"/>
      <c r="I10" s="2">
        <v>1</v>
      </c>
      <c r="J10" s="2">
        <v>-1</v>
      </c>
      <c r="K10" s="2"/>
    </row>
    <row r="11" spans="1:19" x14ac:dyDescent="0.15">
      <c r="A11" t="s">
        <v>6</v>
      </c>
      <c r="B11" s="2" t="s">
        <v>17</v>
      </c>
      <c r="C11" s="4">
        <v>100000000000000</v>
      </c>
      <c r="D11" s="5">
        <f>LN(C11)</f>
        <v>32.236191301916641</v>
      </c>
      <c r="E11" s="2">
        <v>1</v>
      </c>
      <c r="F11" s="2"/>
      <c r="G11" s="2"/>
      <c r="H11" s="2"/>
      <c r="I11" s="2"/>
      <c r="J11" s="2"/>
      <c r="K11" s="2">
        <v>1</v>
      </c>
    </row>
    <row r="12" spans="1:19" x14ac:dyDescent="0.15">
      <c r="A12" s="9" t="s">
        <v>29</v>
      </c>
      <c r="E12" s="4">
        <f t="shared" ref="E12:K12" si="0">E15/E14</f>
        <v>4.5379537953795384E-13</v>
      </c>
      <c r="F12" s="4">
        <f t="shared" si="0"/>
        <v>4.5379537953795384E-13</v>
      </c>
      <c r="G12" s="4">
        <f t="shared" si="0"/>
        <v>4.5379537953795384E-13</v>
      </c>
      <c r="H12" s="4">
        <f t="shared" si="0"/>
        <v>4.5379537953795384E-13</v>
      </c>
      <c r="I12" s="4">
        <f t="shared" si="0"/>
        <v>0</v>
      </c>
      <c r="J12" s="4">
        <f t="shared" si="0"/>
        <v>0</v>
      </c>
      <c r="K12" s="4">
        <f t="shared" si="0"/>
        <v>0</v>
      </c>
    </row>
    <row r="13" spans="1:19" x14ac:dyDescent="0.15">
      <c r="A13" t="s">
        <v>46</v>
      </c>
      <c r="B13" s="2">
        <v>0.9</v>
      </c>
      <c r="C13" s="2">
        <v>1E-3</v>
      </c>
      <c r="D13" s="2">
        <v>9.9000000000000005E-2</v>
      </c>
      <c r="E13" s="3">
        <f>E15/E14</f>
        <v>4.5379537953795384E-13</v>
      </c>
      <c r="F13" s="3">
        <v>9.9999999999999995E-7</v>
      </c>
      <c r="G13" s="3">
        <v>1.0000000000000001E-9</v>
      </c>
      <c r="H13" s="3">
        <v>1E-14</v>
      </c>
      <c r="I13" s="2">
        <v>0</v>
      </c>
      <c r="J13" s="2">
        <v>0</v>
      </c>
      <c r="K13" s="2">
        <v>0</v>
      </c>
      <c r="L13" s="2">
        <v>0</v>
      </c>
      <c r="M13" s="2">
        <f t="shared" ref="M13:S13" si="1">LN(B13)</f>
        <v>-0.10536051565782628</v>
      </c>
      <c r="N13" s="2">
        <f t="shared" si="1"/>
        <v>-6.9077552789821368</v>
      </c>
      <c r="O13" s="2">
        <f t="shared" si="1"/>
        <v>-2.312635428847547</v>
      </c>
      <c r="P13" s="2">
        <f t="shared" si="1"/>
        <v>-28.421130004331292</v>
      </c>
      <c r="Q13" s="2">
        <f t="shared" si="1"/>
        <v>-13.815510557964274</v>
      </c>
      <c r="R13" s="2">
        <f t="shared" si="1"/>
        <v>-20.72326583694641</v>
      </c>
      <c r="S13" s="2">
        <f t="shared" si="1"/>
        <v>-32.236191301916641</v>
      </c>
    </row>
    <row r="14" spans="1:19" x14ac:dyDescent="0.15">
      <c r="B14" s="2"/>
      <c r="C14" s="2"/>
      <c r="D14" s="2" t="s">
        <v>53</v>
      </c>
      <c r="E14" s="3">
        <f t="shared" ref="E14:K14" si="2">242.4/1.1</f>
        <v>220.36363636363635</v>
      </c>
      <c r="F14" s="3">
        <f t="shared" si="2"/>
        <v>220.36363636363635</v>
      </c>
      <c r="G14" s="3">
        <f t="shared" si="2"/>
        <v>220.36363636363635</v>
      </c>
      <c r="H14" s="3">
        <f t="shared" si="2"/>
        <v>220.36363636363635</v>
      </c>
      <c r="I14" s="3">
        <f t="shared" si="2"/>
        <v>220.36363636363635</v>
      </c>
      <c r="J14" s="3">
        <f t="shared" si="2"/>
        <v>220.36363636363635</v>
      </c>
      <c r="K14" s="3">
        <f t="shared" si="2"/>
        <v>220.36363636363635</v>
      </c>
      <c r="L14" s="2"/>
      <c r="M14" s="2"/>
      <c r="N14" s="2"/>
      <c r="O14" s="2"/>
      <c r="P14" s="2"/>
      <c r="Q14" s="2"/>
      <c r="R14" s="2"/>
      <c r="S14" s="2"/>
    </row>
    <row r="15" spans="1:19" x14ac:dyDescent="0.15">
      <c r="A15" s="9" t="s">
        <v>47</v>
      </c>
      <c r="B15" s="2"/>
      <c r="C15" s="2"/>
      <c r="D15" s="2" t="s">
        <v>54</v>
      </c>
      <c r="E15" s="3">
        <v>1E-10</v>
      </c>
      <c r="F15" s="3">
        <v>1E-10</v>
      </c>
      <c r="G15" s="3">
        <v>1E-10</v>
      </c>
      <c r="H15" s="3">
        <v>1E-10</v>
      </c>
      <c r="I15" s="2"/>
      <c r="J15" s="2"/>
      <c r="K15" s="2">
        <v>0</v>
      </c>
      <c r="L15" s="2"/>
      <c r="M15" s="2"/>
      <c r="N15" s="2"/>
      <c r="O15" s="2"/>
      <c r="P15" s="2"/>
      <c r="Q15" s="2"/>
      <c r="R15" s="2"/>
      <c r="S15" s="2"/>
    </row>
    <row r="16" spans="1:19" x14ac:dyDescent="0.15">
      <c r="A16" s="9" t="s">
        <v>48</v>
      </c>
      <c r="B16" s="2"/>
      <c r="C16" s="2"/>
      <c r="D16" s="2"/>
      <c r="E16" s="3"/>
      <c r="F16" s="3"/>
      <c r="G16" s="3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46" x14ac:dyDescent="0.15">
      <c r="B17" s="9" t="s">
        <v>20</v>
      </c>
      <c r="I17" s="9" t="s">
        <v>21</v>
      </c>
      <c r="M17" s="9" t="s">
        <v>22</v>
      </c>
      <c r="U17" s="9" t="s">
        <v>23</v>
      </c>
      <c r="Y17" s="9" t="s">
        <v>44</v>
      </c>
    </row>
    <row r="18" spans="1:46" x14ac:dyDescent="0.15">
      <c r="M18">
        <f t="shared" ref="M18:S18" si="3">EXP(M19)</f>
        <v>1.0000003272463292E-7</v>
      </c>
      <c r="N18">
        <f t="shared" si="3"/>
        <v>4.3218600166738181E-13</v>
      </c>
      <c r="O18">
        <f t="shared" si="3"/>
        <v>4.7540475740852985E-13</v>
      </c>
      <c r="P18">
        <f t="shared" si="3"/>
        <v>8.7234498822855353E-14</v>
      </c>
      <c r="Q18">
        <f t="shared" si="3"/>
        <v>3.6638501495410353E-13</v>
      </c>
      <c r="R18">
        <f t="shared" si="3"/>
        <v>1.7586486472908293E-16</v>
      </c>
      <c r="S18">
        <f t="shared" si="3"/>
        <v>9.9999967275377301E-8</v>
      </c>
    </row>
    <row r="19" spans="1:46" x14ac:dyDescent="0.15">
      <c r="A19" s="9" t="s">
        <v>49</v>
      </c>
      <c r="B19" s="2">
        <v>1.0000003272463309E-7</v>
      </c>
      <c r="C19" s="2">
        <v>4.3218600166446764E-13</v>
      </c>
      <c r="D19" s="2">
        <v>4.7540475741143902E-13</v>
      </c>
      <c r="E19" s="3">
        <v>8.7234498873329514E-14</v>
      </c>
      <c r="F19" s="3">
        <v>3.6638501501224634E-13</v>
      </c>
      <c r="G19" s="3">
        <v>1.7586565237747948E-16</v>
      </c>
      <c r="H19" s="3">
        <v>9.9999967275377804E-8</v>
      </c>
      <c r="I19" s="2">
        <v>2.1609377873487304E-14</v>
      </c>
      <c r="J19" s="2">
        <v>3.6656088066462377E-13</v>
      </c>
      <c r="K19" s="2">
        <v>1.7586565237747948E-16</v>
      </c>
      <c r="L19" s="2">
        <v>-9.9999967275377804E-8</v>
      </c>
      <c r="M19" s="2">
        <v>-16.118095323712044</v>
      </c>
      <c r="N19" s="2">
        <v>-28.469920339915447</v>
      </c>
      <c r="O19" s="2">
        <v>-28.374609832864849</v>
      </c>
      <c r="P19" s="2">
        <v>-30.070176513533681</v>
      </c>
      <c r="Q19" s="2">
        <v>-28.635091660998086</v>
      </c>
      <c r="R19" s="2">
        <v>-36.276815787814144</v>
      </c>
      <c r="S19" s="2">
        <v>-16.1180959782046</v>
      </c>
      <c r="AR19" s="9" t="s">
        <v>45</v>
      </c>
    </row>
    <row r="20" spans="1:46" x14ac:dyDescent="0.15">
      <c r="B20" s="2" t="s">
        <v>7</v>
      </c>
      <c r="C20" s="2" t="s">
        <v>8</v>
      </c>
      <c r="D20" s="2" t="s">
        <v>9</v>
      </c>
      <c r="E20" s="2" t="s">
        <v>10</v>
      </c>
      <c r="F20" s="2" t="s">
        <v>11</v>
      </c>
      <c r="G20" s="2" t="s">
        <v>12</v>
      </c>
      <c r="H20" s="2" t="s">
        <v>13</v>
      </c>
      <c r="I20" s="2" t="s">
        <v>14</v>
      </c>
      <c r="J20" s="2" t="s">
        <v>15</v>
      </c>
      <c r="K20" s="2" t="s">
        <v>16</v>
      </c>
      <c r="L20" s="2" t="s">
        <v>17</v>
      </c>
      <c r="M20" s="2" t="s">
        <v>7</v>
      </c>
      <c r="N20" s="2" t="s">
        <v>8</v>
      </c>
      <c r="O20" s="2" t="s">
        <v>9</v>
      </c>
      <c r="P20" s="2" t="s">
        <v>10</v>
      </c>
      <c r="Q20" s="2" t="s">
        <v>11</v>
      </c>
      <c r="R20" s="2" t="s">
        <v>12</v>
      </c>
      <c r="S20" s="2" t="s">
        <v>13</v>
      </c>
      <c r="U20" t="s">
        <v>30</v>
      </c>
      <c r="Y20" s="2" t="s">
        <v>7</v>
      </c>
      <c r="Z20" s="2" t="s">
        <v>8</v>
      </c>
      <c r="AA20" s="2" t="s">
        <v>9</v>
      </c>
      <c r="AB20" s="2" t="s">
        <v>10</v>
      </c>
      <c r="AC20" s="2" t="s">
        <v>11</v>
      </c>
      <c r="AD20" s="2" t="s">
        <v>12</v>
      </c>
      <c r="AE20" s="2" t="s">
        <v>13</v>
      </c>
      <c r="AF20" s="2" t="s">
        <v>14</v>
      </c>
      <c r="AG20" s="2" t="s">
        <v>15</v>
      </c>
      <c r="AH20" s="2" t="s">
        <v>16</v>
      </c>
      <c r="AI20" s="2" t="s">
        <v>17</v>
      </c>
      <c r="AJ20" s="2" t="s">
        <v>7</v>
      </c>
      <c r="AK20" s="2" t="s">
        <v>8</v>
      </c>
      <c r="AL20" s="2" t="s">
        <v>9</v>
      </c>
      <c r="AM20" s="2" t="s">
        <v>10</v>
      </c>
      <c r="AN20" s="2" t="s">
        <v>11</v>
      </c>
      <c r="AO20" s="2" t="s">
        <v>12</v>
      </c>
      <c r="AP20" s="2" t="s">
        <v>13</v>
      </c>
    </row>
    <row r="21" spans="1:46" x14ac:dyDescent="0.15">
      <c r="A21" t="s">
        <v>24</v>
      </c>
      <c r="B21" s="2">
        <v>1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7">
        <f t="array" ref="I21:L27">TRANSPOSE(E8:K11)</f>
        <v>1</v>
      </c>
      <c r="J21" s="7">
        <v>1</v>
      </c>
      <c r="K21" s="7">
        <v>1</v>
      </c>
      <c r="L21" s="7">
        <v>1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U21" s="6">
        <f t="array" ref="U21:U27">TRANSPOSE(E12:K12)</f>
        <v>4.5379537953795384E-13</v>
      </c>
      <c r="Y21">
        <f t="array" ref="Y21:AP38">MINVERSE(B21:S38)</f>
        <v>0.49999942089467614</v>
      </c>
      <c r="Z21">
        <v>-0.26190449937913296</v>
      </c>
      <c r="AA21">
        <v>0.23809492151917919</v>
      </c>
      <c r="AB21">
        <v>-0.40407674599327098</v>
      </c>
      <c r="AC21">
        <v>9.5922674893616375E-2</v>
      </c>
      <c r="AD21">
        <v>0.59592209573167565</v>
      </c>
      <c r="AE21">
        <v>-0.49999942089467608</v>
      </c>
      <c r="AF21">
        <v>-1.1319145841070691E-13</v>
      </c>
      <c r="AG21">
        <v>-3.5249432424834013E-14</v>
      </c>
      <c r="AH21">
        <v>-1.0480175541325934E-16</v>
      </c>
      <c r="AI21">
        <v>-4.9999925727175215E-8</v>
      </c>
      <c r="AJ21">
        <v>0.50000057910532392</v>
      </c>
      <c r="AK21">
        <v>0.26190449937913296</v>
      </c>
      <c r="AL21">
        <v>-0.23809492151917919</v>
      </c>
      <c r="AM21">
        <v>0.40407674599327098</v>
      </c>
      <c r="AN21">
        <v>-9.5922674893616375E-2</v>
      </c>
      <c r="AO21">
        <v>-0.59592209573167565</v>
      </c>
      <c r="AP21">
        <v>0.49999942089467608</v>
      </c>
      <c r="AR21">
        <f t="array" ref="AR21:AR38">MMULT(Y21:AP38,U21:U38)</f>
        <v>1.000000327246332E-7</v>
      </c>
      <c r="AS21" t="s">
        <v>7</v>
      </c>
    </row>
    <row r="22" spans="1:46" x14ac:dyDescent="0.15">
      <c r="A22" t="s">
        <v>25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7">
        <v>1</v>
      </c>
      <c r="J22" s="7">
        <v>0</v>
      </c>
      <c r="K22" s="7">
        <v>0</v>
      </c>
      <c r="L22" s="7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U22" s="6">
        <v>4.5379537953795384E-13</v>
      </c>
      <c r="Y22">
        <v>-1.1319142134702531E-6</v>
      </c>
      <c r="Z22">
        <v>0.47619098747195976</v>
      </c>
      <c r="AA22">
        <v>0.47618985555774612</v>
      </c>
      <c r="AB22">
        <v>9.1476148383895506E-7</v>
      </c>
      <c r="AC22">
        <v>-2.1715272977007594E-7</v>
      </c>
      <c r="AD22">
        <v>-1.3490669432680846E-6</v>
      </c>
      <c r="AE22">
        <v>1.1319142135812754E-6</v>
      </c>
      <c r="AF22">
        <v>-2.263829227618332E-13</v>
      </c>
      <c r="AG22">
        <v>7.9798759599678E-20</v>
      </c>
      <c r="AH22">
        <v>2.372534679328056E-22</v>
      </c>
      <c r="AI22">
        <v>1.131913843213479E-13</v>
      </c>
      <c r="AJ22">
        <v>1.1319142134702531E-6</v>
      </c>
      <c r="AK22">
        <v>0.52380901252804024</v>
      </c>
      <c r="AL22">
        <v>-0.47618985555774612</v>
      </c>
      <c r="AM22">
        <v>-9.1476148383895506E-7</v>
      </c>
      <c r="AN22">
        <v>2.1715272977007594E-7</v>
      </c>
      <c r="AO22">
        <v>1.3490669432680846E-6</v>
      </c>
      <c r="AP22">
        <v>-1.1319142135812754E-6</v>
      </c>
      <c r="AR22">
        <v>4.3218600147440392E-13</v>
      </c>
      <c r="AS22" t="s">
        <v>8</v>
      </c>
    </row>
    <row r="23" spans="1:46" x14ac:dyDescent="0.15">
      <c r="A23" t="s">
        <v>26</v>
      </c>
      <c r="B23" s="2">
        <v>0</v>
      </c>
      <c r="C23" s="2">
        <v>0</v>
      </c>
      <c r="D23" s="2">
        <v>1</v>
      </c>
      <c r="E23" s="2">
        <v>0</v>
      </c>
      <c r="F23" s="2">
        <v>0</v>
      </c>
      <c r="G23" s="2">
        <v>0</v>
      </c>
      <c r="H23" s="2">
        <v>0</v>
      </c>
      <c r="I23" s="7">
        <v>-1</v>
      </c>
      <c r="J23" s="7">
        <v>0</v>
      </c>
      <c r="K23" s="7">
        <v>0</v>
      </c>
      <c r="L23" s="7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U23" s="6">
        <v>4.5379537953795384E-13</v>
      </c>
      <c r="Y23">
        <v>1.1319142134702531E-6</v>
      </c>
      <c r="Z23">
        <v>0.52380901252804024</v>
      </c>
      <c r="AA23">
        <v>0.52381014444225382</v>
      </c>
      <c r="AB23">
        <v>-9.1476148383895506E-7</v>
      </c>
      <c r="AC23">
        <v>2.1715272977007594E-7</v>
      </c>
      <c r="AD23">
        <v>1.3490669432680846E-6</v>
      </c>
      <c r="AE23">
        <v>-1.1319142135812754E-6</v>
      </c>
      <c r="AF23">
        <v>2.263829227618332E-13</v>
      </c>
      <c r="AG23">
        <v>-7.9798759599678E-20</v>
      </c>
      <c r="AH23">
        <v>-2.372534679328056E-22</v>
      </c>
      <c r="AI23">
        <v>-1.131913843213479E-13</v>
      </c>
      <c r="AJ23">
        <v>-1.1319142134702531E-6</v>
      </c>
      <c r="AK23">
        <v>-0.52380901252804024</v>
      </c>
      <c r="AL23">
        <v>0.47618985555774612</v>
      </c>
      <c r="AM23">
        <v>9.1476148383895506E-7</v>
      </c>
      <c r="AN23">
        <v>-2.1715272977007594E-7</v>
      </c>
      <c r="AO23">
        <v>-1.3490669432680846E-6</v>
      </c>
      <c r="AP23">
        <v>1.1319142135812754E-6</v>
      </c>
      <c r="AR23">
        <v>4.7540475760150396E-13</v>
      </c>
      <c r="AS23" t="s">
        <v>9</v>
      </c>
    </row>
    <row r="24" spans="1:46" x14ac:dyDescent="0.15">
      <c r="A24" t="s">
        <v>27</v>
      </c>
      <c r="B24" s="2">
        <v>0</v>
      </c>
      <c r="C24" s="2">
        <v>0</v>
      </c>
      <c r="D24" s="2">
        <v>0</v>
      </c>
      <c r="E24" s="2">
        <v>1</v>
      </c>
      <c r="F24" s="2">
        <v>0</v>
      </c>
      <c r="G24" s="2">
        <v>0</v>
      </c>
      <c r="H24" s="2">
        <v>0</v>
      </c>
      <c r="I24" s="7">
        <v>0</v>
      </c>
      <c r="J24" s="7">
        <v>1</v>
      </c>
      <c r="K24" s="7">
        <v>0</v>
      </c>
      <c r="L24" s="7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U24" s="6">
        <v>4.5379537953795384E-13</v>
      </c>
      <c r="Y24">
        <v>-3.5249420899605163E-7</v>
      </c>
      <c r="Z24">
        <v>1.8463786977118701E-7</v>
      </c>
      <c r="AA24">
        <v>-1.6785452111589549E-7</v>
      </c>
      <c r="AB24">
        <v>0.19223339903790571</v>
      </c>
      <c r="AC24">
        <v>0.19223304653980242</v>
      </c>
      <c r="AD24">
        <v>0.19223269401728499</v>
      </c>
      <c r="AE24">
        <v>3.5249420899605163E-7</v>
      </c>
      <c r="AF24">
        <v>7.9795998611753276E-20</v>
      </c>
      <c r="AG24">
        <v>-7.0465114603798262E-14</v>
      </c>
      <c r="AH24">
        <v>-3.3806975035768682E-17</v>
      </c>
      <c r="AI24">
        <v>3.5249409355384867E-14</v>
      </c>
      <c r="AJ24">
        <v>3.5249420899605163E-7</v>
      </c>
      <c r="AK24">
        <v>-1.8463786977118701E-7</v>
      </c>
      <c r="AL24">
        <v>1.6785452111589549E-7</v>
      </c>
      <c r="AM24">
        <v>0.80776660096209429</v>
      </c>
      <c r="AN24">
        <v>-0.19223304653980242</v>
      </c>
      <c r="AO24">
        <v>-0.19223269401728499</v>
      </c>
      <c r="AP24">
        <v>-3.5249420899605163E-7</v>
      </c>
      <c r="AR24">
        <v>8.7234498776261505E-14</v>
      </c>
      <c r="AS24" t="s">
        <v>10</v>
      </c>
    </row>
    <row r="25" spans="1:46" x14ac:dyDescent="0.15">
      <c r="A25" t="s">
        <v>28</v>
      </c>
      <c r="B25" s="2">
        <v>0</v>
      </c>
      <c r="C25" s="2">
        <v>0</v>
      </c>
      <c r="D25" s="2">
        <v>0</v>
      </c>
      <c r="E25" s="2">
        <v>0</v>
      </c>
      <c r="F25" s="2">
        <v>1</v>
      </c>
      <c r="G25" s="2">
        <v>0</v>
      </c>
      <c r="H25" s="2">
        <v>0</v>
      </c>
      <c r="I25" s="7">
        <v>0</v>
      </c>
      <c r="J25" s="7">
        <v>-1</v>
      </c>
      <c r="K25" s="7">
        <v>1</v>
      </c>
      <c r="L25" s="7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U25" s="6">
        <v>0</v>
      </c>
      <c r="Y25">
        <v>3.514461917159494E-7</v>
      </c>
      <c r="Z25">
        <v>-1.8409089100161768E-7</v>
      </c>
      <c r="AA25">
        <v>1.6735530067375079E-7</v>
      </c>
      <c r="AB25">
        <v>0.80737905961279366</v>
      </c>
      <c r="AC25">
        <v>0.80737941105898536</v>
      </c>
      <c r="AD25">
        <v>0.80737976250517707</v>
      </c>
      <c r="AE25">
        <v>-3.514461917159494E-7</v>
      </c>
      <c r="AF25">
        <v>-7.9561506120469742E-20</v>
      </c>
      <c r="AG25">
        <v>7.0431307628000372E-14</v>
      </c>
      <c r="AH25">
        <v>-1.4198973289558738E-16</v>
      </c>
      <c r="AI25">
        <v>-3.5144607673638486E-14</v>
      </c>
      <c r="AJ25">
        <v>-3.514461917159494E-7</v>
      </c>
      <c r="AK25">
        <v>1.8409089100161768E-7</v>
      </c>
      <c r="AL25">
        <v>-1.6735530067375079E-7</v>
      </c>
      <c r="AM25">
        <v>-0.80737905961279366</v>
      </c>
      <c r="AN25">
        <v>0.19262058894101461</v>
      </c>
      <c r="AO25">
        <v>-0.80737976250517707</v>
      </c>
      <c r="AP25">
        <v>3.514461917159494E-7</v>
      </c>
      <c r="AR25">
        <v>3.6638501547521697E-13</v>
      </c>
      <c r="AS25" t="s">
        <v>11</v>
      </c>
    </row>
    <row r="26" spans="1:46" x14ac:dyDescent="0.15">
      <c r="A26" t="s">
        <v>31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1</v>
      </c>
      <c r="H26" s="2">
        <v>0</v>
      </c>
      <c r="I26" s="7">
        <v>0</v>
      </c>
      <c r="J26" s="7">
        <v>0</v>
      </c>
      <c r="K26" s="7">
        <v>-1</v>
      </c>
      <c r="L26" s="7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U26" s="6">
        <v>0</v>
      </c>
      <c r="Y26">
        <v>1.0480172801022343E-9</v>
      </c>
      <c r="Z26">
        <v>-5.4697876956933359E-10</v>
      </c>
      <c r="AA26">
        <v>4.9922044214470082E-10</v>
      </c>
      <c r="AB26">
        <v>3.8754134930063522E-4</v>
      </c>
      <c r="AC26">
        <v>3.8754240121219308E-4</v>
      </c>
      <c r="AD26">
        <v>3.8754347753788831E-4</v>
      </c>
      <c r="AE26">
        <v>-1.0480172801022343E-9</v>
      </c>
      <c r="AF26">
        <v>-2.344924912835402E-22</v>
      </c>
      <c r="AG26">
        <v>3.3806975797889619E-17</v>
      </c>
      <c r="AH26">
        <v>1.7579670793135606E-16</v>
      </c>
      <c r="AI26">
        <v>-1.048016817463812E-16</v>
      </c>
      <c r="AJ26">
        <v>-1.0480172801022343E-9</v>
      </c>
      <c r="AK26">
        <v>5.4697876956933359E-10</v>
      </c>
      <c r="AL26">
        <v>-4.9922044214470082E-10</v>
      </c>
      <c r="AM26">
        <v>-3.8754134930063522E-4</v>
      </c>
      <c r="AN26">
        <v>-3.8754240121219308E-4</v>
      </c>
      <c r="AO26">
        <v>0.99961245652246211</v>
      </c>
      <c r="AP26">
        <v>1.0480172801022343E-9</v>
      </c>
      <c r="AR26">
        <v>1.7586528647495364E-16</v>
      </c>
      <c r="AS26" t="s">
        <v>12</v>
      </c>
    </row>
    <row r="27" spans="1:46" x14ac:dyDescent="0.15">
      <c r="A27" t="s">
        <v>32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7">
        <v>0</v>
      </c>
      <c r="J27" s="7">
        <v>0</v>
      </c>
      <c r="K27" s="7">
        <v>0</v>
      </c>
      <c r="L27" s="7">
        <v>1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U27" s="6">
        <v>0</v>
      </c>
      <c r="Y27">
        <v>-0.49999909364888412</v>
      </c>
      <c r="Z27">
        <v>0.26190432796405871</v>
      </c>
      <c r="AA27">
        <v>-0.23809476568482538</v>
      </c>
      <c r="AB27">
        <v>0.40407648155664005</v>
      </c>
      <c r="AC27">
        <v>-9.5922612092244078E-2</v>
      </c>
      <c r="AD27">
        <v>-0.59592170574112824</v>
      </c>
      <c r="AE27">
        <v>0.49999909364888406</v>
      </c>
      <c r="AF27">
        <v>1.1319138432063518E-13</v>
      </c>
      <c r="AG27">
        <v>3.5249409356002539E-14</v>
      </c>
      <c r="AH27">
        <v>1.0480169030039747E-16</v>
      </c>
      <c r="AI27">
        <v>-5.0000074272770571E-8</v>
      </c>
      <c r="AJ27">
        <v>0.49999909364888412</v>
      </c>
      <c r="AK27">
        <v>-0.26190432796405871</v>
      </c>
      <c r="AL27">
        <v>0.23809476568482538</v>
      </c>
      <c r="AM27">
        <v>-0.40407648155664005</v>
      </c>
      <c r="AN27">
        <v>9.5922612092244078E-2</v>
      </c>
      <c r="AO27">
        <v>0.59592170574112824</v>
      </c>
      <c r="AP27">
        <v>0.50000090635111594</v>
      </c>
      <c r="AR27">
        <v>9.9999967275377487E-8</v>
      </c>
      <c r="AS27" t="s">
        <v>13</v>
      </c>
      <c r="AT27">
        <f>-LOG(AR27)</f>
        <v>7.0000001421212534</v>
      </c>
    </row>
    <row r="28" spans="1:46" x14ac:dyDescent="0.15">
      <c r="A28" t="s">
        <v>33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7">
        <f t="array" ref="M28:S31">-E8:K11</f>
        <v>-1</v>
      </c>
      <c r="N28" s="7">
        <v>-1</v>
      </c>
      <c r="O28" s="7">
        <v>1</v>
      </c>
      <c r="P28" s="7">
        <v>0</v>
      </c>
      <c r="Q28" s="7">
        <v>0</v>
      </c>
      <c r="R28" s="7">
        <v>0</v>
      </c>
      <c r="S28" s="7">
        <v>0</v>
      </c>
      <c r="U28" s="6">
        <f t="array" ref="U28:U31">D8:D11</f>
        <v>16.213405830762646</v>
      </c>
      <c r="Y28">
        <v>1.1319142134702531E-6</v>
      </c>
      <c r="Z28">
        <v>0.52380901252804024</v>
      </c>
      <c r="AA28">
        <v>-0.47618985555774612</v>
      </c>
      <c r="AB28">
        <v>-9.1476148383895506E-7</v>
      </c>
      <c r="AC28">
        <v>2.1715272977007594E-7</v>
      </c>
      <c r="AD28">
        <v>1.3490669432680846E-6</v>
      </c>
      <c r="AE28">
        <v>-1.1319142135812754E-6</v>
      </c>
      <c r="AF28">
        <v>2.263829227618332E-13</v>
      </c>
      <c r="AG28">
        <v>-7.9798759599678E-20</v>
      </c>
      <c r="AH28">
        <v>-2.372534679328056E-22</v>
      </c>
      <c r="AI28">
        <v>-1.131913843213479E-13</v>
      </c>
      <c r="AJ28">
        <v>-1.1319142134702531E-6</v>
      </c>
      <c r="AK28">
        <v>-0.52380901252804024</v>
      </c>
      <c r="AL28">
        <v>0.47618985555774612</v>
      </c>
      <c r="AM28">
        <v>9.1476148383895506E-7</v>
      </c>
      <c r="AN28">
        <v>-2.1715272977007594E-7</v>
      </c>
      <c r="AO28">
        <v>-1.3490669432680846E-6</v>
      </c>
      <c r="AP28">
        <v>1.1319142135812754E-6</v>
      </c>
      <c r="AR28">
        <v>2.1609378063551033E-14</v>
      </c>
      <c r="AS28" t="s">
        <v>14</v>
      </c>
    </row>
    <row r="29" spans="1:46" x14ac:dyDescent="0.15">
      <c r="A29" t="s">
        <v>34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7">
        <v>-1</v>
      </c>
      <c r="N29" s="7">
        <v>0</v>
      </c>
      <c r="O29" s="7">
        <v>0</v>
      </c>
      <c r="P29" s="7">
        <v>-1</v>
      </c>
      <c r="Q29" s="7">
        <v>1</v>
      </c>
      <c r="R29" s="7">
        <v>0</v>
      </c>
      <c r="S29" s="7">
        <v>0</v>
      </c>
      <c r="U29" s="6">
        <v>17.553180176247643</v>
      </c>
      <c r="Y29">
        <v>3.5249420899605163E-7</v>
      </c>
      <c r="Z29">
        <v>-1.8463786977118701E-7</v>
      </c>
      <c r="AA29">
        <v>1.6785452111589549E-7</v>
      </c>
      <c r="AB29">
        <v>0.80776660096209429</v>
      </c>
      <c r="AC29">
        <v>-0.19223304653980242</v>
      </c>
      <c r="AD29">
        <v>-0.19223269401728499</v>
      </c>
      <c r="AE29">
        <v>-3.5249420899605163E-7</v>
      </c>
      <c r="AF29">
        <v>-7.9795998611753276E-20</v>
      </c>
      <c r="AG29">
        <v>7.0465114603798262E-14</v>
      </c>
      <c r="AH29">
        <v>3.3806975035768682E-17</v>
      </c>
      <c r="AI29">
        <v>-3.5249409355384867E-14</v>
      </c>
      <c r="AJ29">
        <v>-3.5249420899605163E-7</v>
      </c>
      <c r="AK29">
        <v>1.8463786977118701E-7</v>
      </c>
      <c r="AL29">
        <v>-1.6785452111589549E-7</v>
      </c>
      <c r="AM29">
        <v>-0.80776660096209429</v>
      </c>
      <c r="AN29">
        <v>0.19223304653980242</v>
      </c>
      <c r="AO29">
        <v>0.19223269401728499</v>
      </c>
      <c r="AP29">
        <v>3.5249420899605163E-7</v>
      </c>
      <c r="AR29">
        <v>3.6656088076169223E-13</v>
      </c>
      <c r="AS29" t="s">
        <v>15</v>
      </c>
    </row>
    <row r="30" spans="1:46" x14ac:dyDescent="0.15">
      <c r="A30" t="s">
        <v>35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7">
        <v>-1</v>
      </c>
      <c r="N30" s="7">
        <v>0</v>
      </c>
      <c r="O30" s="7">
        <v>0</v>
      </c>
      <c r="P30" s="7">
        <v>0</v>
      </c>
      <c r="Q30" s="7">
        <v>-1</v>
      </c>
      <c r="R30" s="7">
        <v>1</v>
      </c>
      <c r="S30" s="7">
        <v>0</v>
      </c>
      <c r="U30" s="6">
        <v>8.4763711968959825</v>
      </c>
      <c r="Y30">
        <v>1.0480172801022343E-9</v>
      </c>
      <c r="Z30">
        <v>-5.4697876956933359E-10</v>
      </c>
      <c r="AA30">
        <v>4.9922044214470082E-10</v>
      </c>
      <c r="AB30">
        <v>3.8754134930063522E-4</v>
      </c>
      <c r="AC30">
        <v>3.8754240121219308E-4</v>
      </c>
      <c r="AD30">
        <v>-0.99961245652246211</v>
      </c>
      <c r="AE30">
        <v>-1.0480172801022343E-9</v>
      </c>
      <c r="AF30">
        <v>-2.344924912835402E-22</v>
      </c>
      <c r="AG30">
        <v>3.3806975797889619E-17</v>
      </c>
      <c r="AH30">
        <v>1.7579670793135606E-16</v>
      </c>
      <c r="AI30">
        <v>-1.048016817463812E-16</v>
      </c>
      <c r="AJ30">
        <v>-1.0480172801022343E-9</v>
      </c>
      <c r="AK30">
        <v>5.4697876956933359E-10</v>
      </c>
      <c r="AL30">
        <v>-4.9922044214470082E-10</v>
      </c>
      <c r="AM30">
        <v>-3.8754134930063522E-4</v>
      </c>
      <c r="AN30">
        <v>-3.8754240121219308E-4</v>
      </c>
      <c r="AO30">
        <v>0.99961245652246211</v>
      </c>
      <c r="AP30">
        <v>1.0480172801022343E-9</v>
      </c>
      <c r="AR30">
        <v>1.7586528647495364E-16</v>
      </c>
      <c r="AS30" t="s">
        <v>16</v>
      </c>
    </row>
    <row r="31" spans="1:46" x14ac:dyDescent="0.15">
      <c r="A31" t="s">
        <v>36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7">
        <v>-1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-1</v>
      </c>
      <c r="U31" s="6">
        <v>32.236191301916641</v>
      </c>
      <c r="Y31">
        <v>0.49999909364888412</v>
      </c>
      <c r="Z31">
        <v>-0.26190432796405871</v>
      </c>
      <c r="AA31">
        <v>0.23809476568482538</v>
      </c>
      <c r="AB31">
        <v>-0.40407648155664005</v>
      </c>
      <c r="AC31">
        <v>9.5922612092244078E-2</v>
      </c>
      <c r="AD31">
        <v>0.59592170574112824</v>
      </c>
      <c r="AE31">
        <v>0.50000090635111594</v>
      </c>
      <c r="AF31">
        <v>-1.1319138432063518E-13</v>
      </c>
      <c r="AG31">
        <v>-3.5249409356002539E-14</v>
      </c>
      <c r="AH31">
        <v>-1.0480169030039747E-16</v>
      </c>
      <c r="AI31">
        <v>5.0000074272770571E-8</v>
      </c>
      <c r="AJ31">
        <v>-0.49999909364888412</v>
      </c>
      <c r="AK31">
        <v>0.26190432796405871</v>
      </c>
      <c r="AL31">
        <v>-0.23809476568482538</v>
      </c>
      <c r="AM31">
        <v>0.40407648155664005</v>
      </c>
      <c r="AN31">
        <v>-9.5922612092244078E-2</v>
      </c>
      <c r="AO31">
        <v>-0.59592170574112824</v>
      </c>
      <c r="AP31">
        <v>-0.50000090635111594</v>
      </c>
      <c r="AR31">
        <v>-9.9999967275377487E-8</v>
      </c>
      <c r="AS31" t="s">
        <v>17</v>
      </c>
    </row>
    <row r="32" spans="1:46" x14ac:dyDescent="0.15">
      <c r="A32" t="s">
        <v>37</v>
      </c>
      <c r="B32" s="2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f>-EXP(M$19)</f>
        <v>-1.0000003272463292E-7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U32" s="6">
        <f t="shared" ref="U32:U38" si="4">-SUM(M32:S32)*(1-LN(-SUM(M32:S32)))</f>
        <v>1.7118100925545902E-6</v>
      </c>
      <c r="Y32">
        <v>4999992.5727175456</v>
      </c>
      <c r="Z32">
        <v>-2619044.13671875</v>
      </c>
      <c r="AA32">
        <v>2380948.4360351562</v>
      </c>
      <c r="AB32">
        <v>-4040766.1376068247</v>
      </c>
      <c r="AC32">
        <v>959226.43503283407</v>
      </c>
      <c r="AD32">
        <v>5959219.0071842112</v>
      </c>
      <c r="AE32">
        <v>-4999992.5727175456</v>
      </c>
      <c r="AF32">
        <v>-1.1319142136922977E-6</v>
      </c>
      <c r="AG32">
        <v>-3.5249420889590423E-7</v>
      </c>
      <c r="AH32">
        <v>-1.0480172111728082E-9</v>
      </c>
      <c r="AI32">
        <v>-0.49999909364888417</v>
      </c>
      <c r="AJ32">
        <v>-4999992.5727175456</v>
      </c>
      <c r="AK32">
        <v>2619044.13671875</v>
      </c>
      <c r="AL32">
        <v>-2380948.4360351562</v>
      </c>
      <c r="AM32">
        <v>4040766.1376068247</v>
      </c>
      <c r="AN32">
        <v>-959226.43503283407</v>
      </c>
      <c r="AO32">
        <v>-5959219.0071842112</v>
      </c>
      <c r="AP32">
        <v>4999992.5727175456</v>
      </c>
      <c r="AR32">
        <v>-16.118095323712044</v>
      </c>
      <c r="AS32" t="s">
        <v>7</v>
      </c>
    </row>
    <row r="33" spans="1:45" x14ac:dyDescent="0.15">
      <c r="A33" t="s">
        <v>38</v>
      </c>
      <c r="B33" s="2">
        <v>0</v>
      </c>
      <c r="C33" s="2">
        <v>1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f>-EXP(N$19)</f>
        <v>-4.3218600166738181E-13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U33" s="6">
        <f t="shared" si="4"/>
        <v>1.2736487041164306E-11</v>
      </c>
      <c r="Y33">
        <v>-2619044.1366959969</v>
      </c>
      <c r="Z33">
        <v>1101819553698.6526</v>
      </c>
      <c r="AA33">
        <v>1101816934654.5159</v>
      </c>
      <c r="AB33">
        <v>2116592.1162109375</v>
      </c>
      <c r="AC33">
        <v>-502452.0205078125</v>
      </c>
      <c r="AD33">
        <v>-3121496.1567382812</v>
      </c>
      <c r="AE33">
        <v>2619044.1366959969</v>
      </c>
      <c r="AF33">
        <v>-0.52380901252804013</v>
      </c>
      <c r="AG33">
        <v>1.8463985249073112E-7</v>
      </c>
      <c r="AH33">
        <v>5.4896148190359748E-10</v>
      </c>
      <c r="AI33">
        <v>0.26190432796236851</v>
      </c>
      <c r="AJ33">
        <v>2619044.1366959969</v>
      </c>
      <c r="AK33">
        <v>-1101819553698.6526</v>
      </c>
      <c r="AL33">
        <v>-1101816934654.5159</v>
      </c>
      <c r="AM33">
        <v>-2116592.1162109375</v>
      </c>
      <c r="AN33">
        <v>502452.0205078125</v>
      </c>
      <c r="AO33">
        <v>3121496.1567382812</v>
      </c>
      <c r="AP33">
        <v>-2619044.1366959969</v>
      </c>
      <c r="AR33">
        <v>-28.469920339915451</v>
      </c>
      <c r="AS33" t="s">
        <v>8</v>
      </c>
    </row>
    <row r="34" spans="1:45" x14ac:dyDescent="0.15">
      <c r="A34" t="s">
        <v>39</v>
      </c>
      <c r="B34" s="2">
        <v>0</v>
      </c>
      <c r="C34" s="2">
        <v>0</v>
      </c>
      <c r="D34" s="2">
        <v>1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f>-EXP(O$19)</f>
        <v>-4.7540475740852985E-13</v>
      </c>
      <c r="P34" s="2">
        <v>0</v>
      </c>
      <c r="Q34" s="2">
        <v>0</v>
      </c>
      <c r="R34" s="2">
        <v>0</v>
      </c>
      <c r="S34" s="2">
        <v>0</v>
      </c>
      <c r="U34" s="6">
        <f t="shared" si="4"/>
        <v>1.3964829261563329E-11</v>
      </c>
      <c r="Y34">
        <v>2380948.4360215487</v>
      </c>
      <c r="Z34">
        <v>1101816934654.5159</v>
      </c>
      <c r="AA34">
        <v>1101819315602.9519</v>
      </c>
      <c r="AB34">
        <v>-1924174.0213958872</v>
      </c>
      <c r="AC34">
        <v>456774.41452502151</v>
      </c>
      <c r="AD34">
        <v>2837722.8504459304</v>
      </c>
      <c r="AE34">
        <v>-2380948.4360215487</v>
      </c>
      <c r="AF34">
        <v>0.47618985555774618</v>
      </c>
      <c r="AG34">
        <v>-1.6785435640517311E-7</v>
      </c>
      <c r="AH34">
        <v>-4.9905572926921068E-10</v>
      </c>
      <c r="AI34">
        <v>-0.23809476568651564</v>
      </c>
      <c r="AJ34">
        <v>-2380948.4360215487</v>
      </c>
      <c r="AK34">
        <v>-1101816934654.5159</v>
      </c>
      <c r="AL34">
        <v>-1101819315602.9519</v>
      </c>
      <c r="AM34">
        <v>1924174.0213958872</v>
      </c>
      <c r="AN34">
        <v>-456774.41452502151</v>
      </c>
      <c r="AO34">
        <v>-2837722.8504459304</v>
      </c>
      <c r="AP34">
        <v>2380948.4360215487</v>
      </c>
      <c r="AR34">
        <v>-28.374609832864856</v>
      </c>
      <c r="AS34" t="s">
        <v>9</v>
      </c>
    </row>
    <row r="35" spans="1:45" x14ac:dyDescent="0.15">
      <c r="A35" t="s">
        <v>40</v>
      </c>
      <c r="B35" s="2">
        <v>0</v>
      </c>
      <c r="C35" s="2">
        <v>0</v>
      </c>
      <c r="D35" s="2">
        <v>0</v>
      </c>
      <c r="E35" s="2">
        <v>1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f>-EXP(P$19)</f>
        <v>-8.7234498822855353E-14</v>
      </c>
      <c r="Q35" s="2">
        <v>0</v>
      </c>
      <c r="R35" s="2">
        <v>0</v>
      </c>
      <c r="S35" s="2">
        <v>0</v>
      </c>
      <c r="U35" s="6">
        <f t="shared" si="4"/>
        <v>2.7103912764957619E-12</v>
      </c>
      <c r="Y35">
        <v>-4040766.1379016247</v>
      </c>
      <c r="Z35">
        <v>2116592.1162592261</v>
      </c>
      <c r="AA35">
        <v>-1924174.0215397622</v>
      </c>
      <c r="AB35">
        <v>2203639633542.5854</v>
      </c>
      <c r="AC35">
        <v>2203635592776.4478</v>
      </c>
      <c r="AD35">
        <v>2203631552010.3105</v>
      </c>
      <c r="AE35">
        <v>4040766.1379016247</v>
      </c>
      <c r="AF35">
        <v>9.1476148395712674E-7</v>
      </c>
      <c r="AG35">
        <v>-0.80776660097460806</v>
      </c>
      <c r="AH35">
        <v>-3.8754136529184358E-4</v>
      </c>
      <c r="AI35">
        <v>0.40407648154217013</v>
      </c>
      <c r="AJ35">
        <v>4040766.1379016247</v>
      </c>
      <c r="AK35">
        <v>-2116592.1162592261</v>
      </c>
      <c r="AL35">
        <v>1924174.0215397622</v>
      </c>
      <c r="AM35">
        <v>-2203639633542.5854</v>
      </c>
      <c r="AN35">
        <v>-2203635592776.4478</v>
      </c>
      <c r="AO35">
        <v>-2203631552010.3105</v>
      </c>
      <c r="AP35">
        <v>-4040766.1379016247</v>
      </c>
      <c r="AR35">
        <v>-30.070176511892868</v>
      </c>
      <c r="AS35" t="s">
        <v>10</v>
      </c>
    </row>
    <row r="36" spans="1:45" x14ac:dyDescent="0.15">
      <c r="A36" t="s">
        <v>41</v>
      </c>
      <c r="B36" s="2">
        <v>0</v>
      </c>
      <c r="C36" s="2">
        <v>0</v>
      </c>
      <c r="D36" s="2">
        <v>0</v>
      </c>
      <c r="E36" s="2">
        <v>0</v>
      </c>
      <c r="F36" s="2">
        <v>1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f>-EXP(Q$19)</f>
        <v>-3.6638501495410353E-13</v>
      </c>
      <c r="R36" s="2">
        <v>0</v>
      </c>
      <c r="S36" s="2">
        <v>0</v>
      </c>
      <c r="U36" s="6">
        <f t="shared" si="4"/>
        <v>1.0857853501381012E-11</v>
      </c>
      <c r="Y36">
        <v>959226.43481592089</v>
      </c>
      <c r="Z36">
        <v>-502452.02045367332</v>
      </c>
      <c r="AA36">
        <v>456774.41446488397</v>
      </c>
      <c r="AB36">
        <v>2203635592776.4478</v>
      </c>
      <c r="AC36">
        <v>2203636552002.8828</v>
      </c>
      <c r="AD36">
        <v>2203637511229.3179</v>
      </c>
      <c r="AE36">
        <v>-959226.43481592089</v>
      </c>
      <c r="AF36">
        <v>-2.1715272966388066E-7</v>
      </c>
      <c r="AG36">
        <v>0.19223304653118303</v>
      </c>
      <c r="AH36">
        <v>-3.8754241330905473E-4</v>
      </c>
      <c r="AI36">
        <v>-9.5922612106714045E-2</v>
      </c>
      <c r="AJ36">
        <v>-959226.43481592089</v>
      </c>
      <c r="AK36">
        <v>502452.02045367332</v>
      </c>
      <c r="AL36">
        <v>-456774.41446488397</v>
      </c>
      <c r="AM36">
        <v>-2203635592776.4478</v>
      </c>
      <c r="AN36">
        <v>-2203636552002.8828</v>
      </c>
      <c r="AO36">
        <v>-2203637511229.3179</v>
      </c>
      <c r="AP36">
        <v>959226.43481592089</v>
      </c>
      <c r="AR36">
        <v>-28.635091659357268</v>
      </c>
      <c r="AS36" t="s">
        <v>11</v>
      </c>
    </row>
    <row r="37" spans="1:45" x14ac:dyDescent="0.15">
      <c r="A37" t="s">
        <v>42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1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f>-EXP(R$19)</f>
        <v>-1.7586486472908293E-16</v>
      </c>
      <c r="S37" s="2">
        <v>0</v>
      </c>
      <c r="U37" s="6">
        <f t="shared" si="4"/>
        <v>6.5556821660548771E-15</v>
      </c>
      <c r="Y37">
        <v>5959219.0075334664</v>
      </c>
      <c r="Z37">
        <v>-3121496.1571665728</v>
      </c>
      <c r="AA37">
        <v>2837722.8504695301</v>
      </c>
      <c r="AB37">
        <v>2203631552010.3101</v>
      </c>
      <c r="AC37">
        <v>2203637511229.3179</v>
      </c>
      <c r="AD37">
        <v>2203643470448.3252</v>
      </c>
      <c r="AE37">
        <v>-5959219.0075334664</v>
      </c>
      <c r="AF37">
        <v>-1.3490669432848881E-6</v>
      </c>
      <c r="AG37">
        <v>0.19223269403697413</v>
      </c>
      <c r="AH37">
        <v>0.9996124565386737</v>
      </c>
      <c r="AI37">
        <v>-0.59592170575559822</v>
      </c>
      <c r="AJ37">
        <v>-5959219.0075334664</v>
      </c>
      <c r="AK37">
        <v>3121496.1571665728</v>
      </c>
      <c r="AL37">
        <v>-2837722.8504695301</v>
      </c>
      <c r="AM37">
        <v>-2203631552010.3101</v>
      </c>
      <c r="AN37">
        <v>-2203637511229.3179</v>
      </c>
      <c r="AO37">
        <v>-2203643470448.3252</v>
      </c>
      <c r="AP37">
        <v>5959219.0075334664</v>
      </c>
      <c r="AR37">
        <v>-36.276815786173323</v>
      </c>
      <c r="AS37" t="s">
        <v>12</v>
      </c>
    </row>
    <row r="38" spans="1:45" x14ac:dyDescent="0.15">
      <c r="A38" t="s">
        <v>43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f>-EXP(S$19)</f>
        <v>-9.9999967275377301E-8</v>
      </c>
      <c r="U38" s="6">
        <f t="shared" si="4"/>
        <v>1.7118090376372279E-6</v>
      </c>
      <c r="Y38">
        <v>-4999992.5727175456</v>
      </c>
      <c r="Z38">
        <v>2619044.1367128994</v>
      </c>
      <c r="AA38">
        <v>-2380948.4360046461</v>
      </c>
      <c r="AB38">
        <v>4040766.1378918733</v>
      </c>
      <c r="AC38">
        <v>-959226.43482567242</v>
      </c>
      <c r="AD38">
        <v>-5959219.0075432183</v>
      </c>
      <c r="AE38">
        <v>4999992.5727175456</v>
      </c>
      <c r="AF38">
        <v>1.1319142136210074E-6</v>
      </c>
      <c r="AG38">
        <v>3.5249420891242529E-7</v>
      </c>
      <c r="AH38">
        <v>1.0480172459636643E-9</v>
      </c>
      <c r="AI38">
        <v>-0.50000090635111583</v>
      </c>
      <c r="AJ38">
        <v>4999992.5727175456</v>
      </c>
      <c r="AK38">
        <v>-2619044.1367128994</v>
      </c>
      <c r="AL38">
        <v>2380948.4360046461</v>
      </c>
      <c r="AM38">
        <v>-4040766.1378918733</v>
      </c>
      <c r="AN38">
        <v>959226.43482567242</v>
      </c>
      <c r="AO38">
        <v>5959219.0075432183</v>
      </c>
      <c r="AP38">
        <v>-4999992.5727175456</v>
      </c>
      <c r="AR38">
        <v>-16.1180959782046</v>
      </c>
      <c r="AS38" t="s">
        <v>13</v>
      </c>
    </row>
  </sheetData>
  <pageMargins left="0.75" right="0.75" top="1" bottom="1" header="0.5" footer="0.5"/>
  <pageSetup paperSize="17" scale="26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AX61"/>
  <sheetViews>
    <sheetView topLeftCell="A20" workbookViewId="0">
      <selection activeCell="N20" sqref="N20"/>
    </sheetView>
  </sheetViews>
  <sheetFormatPr baseColWidth="10" defaultColWidth="8.83203125" defaultRowHeight="13" x14ac:dyDescent="0.15"/>
  <cols>
    <col min="1" max="1" width="35.33203125" customWidth="1"/>
    <col min="2" max="4" width="11.83203125" customWidth="1"/>
    <col min="5" max="8" width="11.5" bestFit="1" customWidth="1"/>
    <col min="9" max="11" width="9.5" bestFit="1" customWidth="1"/>
    <col min="12" max="12" width="17.6640625" bestFit="1" customWidth="1"/>
    <col min="13" max="19" width="9.5" bestFit="1" customWidth="1"/>
    <col min="21" max="21" width="13" bestFit="1" customWidth="1"/>
    <col min="28" max="48" width="13" bestFit="1" customWidth="1"/>
    <col min="50" max="50" width="13" bestFit="1" customWidth="1"/>
  </cols>
  <sheetData>
    <row r="1" spans="1:19" ht="16" x14ac:dyDescent="0.2">
      <c r="A1" s="12" t="s">
        <v>0</v>
      </c>
    </row>
    <row r="2" spans="1:19" x14ac:dyDescent="0.15">
      <c r="A2" s="10" t="s">
        <v>1</v>
      </c>
    </row>
    <row r="3" spans="1:19" x14ac:dyDescent="0.15">
      <c r="A3" s="11">
        <v>38553</v>
      </c>
    </row>
    <row r="5" spans="1:19" ht="16" x14ac:dyDescent="0.2">
      <c r="E5" s="14" t="s">
        <v>51</v>
      </c>
    </row>
    <row r="6" spans="1:19" x14ac:dyDescent="0.15">
      <c r="B6" s="13"/>
      <c r="C6" s="13"/>
      <c r="D6" s="13"/>
      <c r="E6" s="9" t="s">
        <v>50</v>
      </c>
      <c r="F6" s="13"/>
      <c r="G6" s="13"/>
      <c r="H6" s="13"/>
      <c r="I6" s="13"/>
      <c r="J6" s="13"/>
      <c r="K6" s="13"/>
    </row>
    <row r="7" spans="1:19" x14ac:dyDescent="0.15">
      <c r="A7" s="9" t="s">
        <v>2</v>
      </c>
      <c r="B7" s="13" t="s">
        <v>52</v>
      </c>
      <c r="C7" s="13" t="s">
        <v>18</v>
      </c>
      <c r="D7" s="13" t="s">
        <v>19</v>
      </c>
      <c r="E7" s="13" t="s">
        <v>7</v>
      </c>
      <c r="F7" s="13" t="s">
        <v>8</v>
      </c>
      <c r="G7" s="13" t="s">
        <v>9</v>
      </c>
      <c r="H7" s="13" t="s">
        <v>10</v>
      </c>
      <c r="I7" s="13" t="s">
        <v>11</v>
      </c>
      <c r="J7" s="13" t="s">
        <v>12</v>
      </c>
      <c r="K7" s="13" t="s">
        <v>13</v>
      </c>
      <c r="L7" s="13" t="s">
        <v>57</v>
      </c>
    </row>
    <row r="8" spans="1:19" x14ac:dyDescent="0.15">
      <c r="A8" t="s">
        <v>3</v>
      </c>
      <c r="B8" s="2" t="s">
        <v>14</v>
      </c>
      <c r="C8" s="22">
        <v>11000000</v>
      </c>
      <c r="D8" s="5">
        <f>LN(C8)</f>
        <v>16.213405830762646</v>
      </c>
      <c r="E8" s="2">
        <v>1</v>
      </c>
      <c r="F8" s="2">
        <v>1</v>
      </c>
      <c r="G8" s="2">
        <v>-1</v>
      </c>
      <c r="H8" s="2"/>
      <c r="I8" s="2"/>
      <c r="J8" s="2"/>
      <c r="K8" s="2"/>
    </row>
    <row r="9" spans="1:19" x14ac:dyDescent="0.15">
      <c r="A9" t="s">
        <v>4</v>
      </c>
      <c r="B9" s="2" t="s">
        <v>15</v>
      </c>
      <c r="C9" s="22">
        <v>42000000</v>
      </c>
      <c r="D9" s="5">
        <f>LN(C9)</f>
        <v>17.553180176247643</v>
      </c>
      <c r="E9" s="2">
        <v>1</v>
      </c>
      <c r="F9" s="2"/>
      <c r="G9" s="2"/>
      <c r="H9" s="2">
        <v>1</v>
      </c>
      <c r="I9" s="2">
        <v>-1</v>
      </c>
      <c r="J9" s="2"/>
      <c r="K9" s="2"/>
    </row>
    <row r="10" spans="1:19" x14ac:dyDescent="0.15">
      <c r="A10" t="s">
        <v>5</v>
      </c>
      <c r="B10" s="2" t="s">
        <v>16</v>
      </c>
      <c r="C10" s="22">
        <v>4800</v>
      </c>
      <c r="D10" s="5">
        <f>LN(C10)</f>
        <v>8.4763711968959825</v>
      </c>
      <c r="E10" s="2">
        <v>1</v>
      </c>
      <c r="F10" s="2"/>
      <c r="G10" s="2"/>
      <c r="H10" s="2"/>
      <c r="I10" s="2">
        <v>1</v>
      </c>
      <c r="J10" s="2">
        <v>-1</v>
      </c>
      <c r="K10" s="2"/>
    </row>
    <row r="11" spans="1:19" x14ac:dyDescent="0.15">
      <c r="A11" t="s">
        <v>6</v>
      </c>
      <c r="B11" s="2" t="s">
        <v>17</v>
      </c>
      <c r="C11" s="22">
        <v>100000000000000</v>
      </c>
      <c r="D11" s="5">
        <f>LN(C11)</f>
        <v>32.236191301916641</v>
      </c>
      <c r="E11" s="2">
        <v>1</v>
      </c>
      <c r="F11" s="2"/>
      <c r="G11" s="2"/>
      <c r="H11" s="2"/>
      <c r="I11" s="2"/>
      <c r="J11" s="2"/>
      <c r="K11" s="2">
        <v>1</v>
      </c>
    </row>
    <row r="12" spans="1:19" x14ac:dyDescent="0.15">
      <c r="A12" t="s">
        <v>55</v>
      </c>
      <c r="B12" s="2" t="s">
        <v>56</v>
      </c>
      <c r="C12" s="22">
        <v>1</v>
      </c>
      <c r="D12" s="5">
        <f>LN(C12)</f>
        <v>0</v>
      </c>
      <c r="E12" s="2">
        <v>1</v>
      </c>
      <c r="F12" s="2"/>
      <c r="G12" s="2">
        <v>1</v>
      </c>
      <c r="H12" s="2"/>
      <c r="I12" s="2"/>
      <c r="J12" s="2"/>
      <c r="K12" s="2"/>
      <c r="L12">
        <v>-1</v>
      </c>
    </row>
    <row r="13" spans="1:19" x14ac:dyDescent="0.15">
      <c r="A13" s="9" t="s">
        <v>29</v>
      </c>
      <c r="D13" t="s">
        <v>63</v>
      </c>
      <c r="E13" s="24">
        <f t="shared" ref="E13:L13" si="0">E16/E15</f>
        <v>4</v>
      </c>
      <c r="F13" s="24">
        <f t="shared" si="0"/>
        <v>1</v>
      </c>
      <c r="G13" s="24">
        <f t="shared" si="0"/>
        <v>0</v>
      </c>
      <c r="H13" s="24">
        <f t="shared" si="0"/>
        <v>2</v>
      </c>
      <c r="I13" s="24">
        <f t="shared" si="0"/>
        <v>0</v>
      </c>
      <c r="J13" s="24">
        <f t="shared" si="0"/>
        <v>0</v>
      </c>
      <c r="K13" s="24">
        <f t="shared" si="0"/>
        <v>1.0000000000000001E-5</v>
      </c>
      <c r="L13" s="24">
        <f t="shared" si="0"/>
        <v>0</v>
      </c>
    </row>
    <row r="14" spans="1:19" x14ac:dyDescent="0.15">
      <c r="B14" s="2"/>
      <c r="C14" s="2"/>
      <c r="D14" s="2"/>
      <c r="E14" s="3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15">
      <c r="B15" s="2"/>
      <c r="C15" s="2"/>
      <c r="D15" s="2" t="s">
        <v>53</v>
      </c>
      <c r="E15" s="21">
        <v>1</v>
      </c>
      <c r="F15" s="21">
        <v>1</v>
      </c>
      <c r="G15" s="21">
        <f>F15</f>
        <v>1</v>
      </c>
      <c r="H15" s="21">
        <f>G15</f>
        <v>1</v>
      </c>
      <c r="I15" s="21">
        <f>H15</f>
        <v>1</v>
      </c>
      <c r="J15" s="21">
        <f>I15</f>
        <v>1</v>
      </c>
      <c r="K15" s="23">
        <v>1</v>
      </c>
      <c r="L15" s="21">
        <f>K15</f>
        <v>1</v>
      </c>
      <c r="M15" s="2"/>
      <c r="N15" s="2"/>
      <c r="O15" s="2"/>
      <c r="P15" s="2"/>
      <c r="Q15" s="2"/>
      <c r="R15" s="2"/>
      <c r="S15" s="2"/>
    </row>
    <row r="16" spans="1:19" x14ac:dyDescent="0.15">
      <c r="A16" s="9" t="s">
        <v>47</v>
      </c>
      <c r="B16" s="2"/>
      <c r="C16" s="2"/>
      <c r="D16" s="2" t="s">
        <v>54</v>
      </c>
      <c r="E16" s="21">
        <v>4</v>
      </c>
      <c r="F16" s="21">
        <v>1</v>
      </c>
      <c r="G16" s="21">
        <v>0</v>
      </c>
      <c r="H16" s="21">
        <v>2</v>
      </c>
      <c r="I16" s="21">
        <v>0</v>
      </c>
      <c r="J16" s="21">
        <v>0</v>
      </c>
      <c r="K16" s="24">
        <f>A47</f>
        <v>1.0000000000000001E-5</v>
      </c>
      <c r="L16" s="21">
        <v>0</v>
      </c>
      <c r="M16" s="2"/>
      <c r="N16" s="2"/>
      <c r="O16" s="2"/>
      <c r="P16" s="2"/>
      <c r="Q16" s="2"/>
      <c r="R16" s="2"/>
      <c r="S16" s="2"/>
    </row>
    <row r="17" spans="1:50" x14ac:dyDescent="0.15">
      <c r="A17" s="9" t="s">
        <v>48</v>
      </c>
      <c r="B17" s="2"/>
      <c r="C17" s="2"/>
      <c r="D17" s="2"/>
      <c r="E17" s="3"/>
      <c r="F17" s="3"/>
      <c r="G17" s="3"/>
      <c r="H17" s="3"/>
      <c r="I17" s="2"/>
      <c r="J17" s="2"/>
      <c r="K17" s="2" t="s">
        <v>73</v>
      </c>
      <c r="L17" s="2"/>
      <c r="M17" s="2"/>
      <c r="N17" s="2"/>
      <c r="O17" s="2"/>
      <c r="P17" s="2"/>
      <c r="Q17" s="2"/>
      <c r="R17" s="2"/>
      <c r="S17" s="2"/>
    </row>
    <row r="18" spans="1:50" x14ac:dyDescent="0.15">
      <c r="B18" s="9" t="s">
        <v>20</v>
      </c>
      <c r="J18" s="9" t="s">
        <v>21</v>
      </c>
      <c r="O18" s="9" t="s">
        <v>22</v>
      </c>
      <c r="X18" s="9" t="s">
        <v>23</v>
      </c>
      <c r="Y18" s="9"/>
    </row>
    <row r="19" spans="1:50" x14ac:dyDescent="0.15">
      <c r="B19" s="16">
        <f>B20/E13</f>
        <v>5.2102146985622834E-5</v>
      </c>
      <c r="D19" s="16">
        <f>D20/F13</f>
        <v>0.99935580060335016</v>
      </c>
      <c r="F19" s="5">
        <f>G20/F20</f>
        <v>1.000361222122707</v>
      </c>
      <c r="G19" t="s">
        <v>62</v>
      </c>
      <c r="H19" s="15">
        <f>-LOG(H20)</f>
        <v>10.318915611073757</v>
      </c>
      <c r="I19" s="16">
        <f>I20/F13</f>
        <v>2.082743312548116E-4</v>
      </c>
      <c r="O19">
        <f t="shared" ref="O19:V19" si="1">EXP(O20)</f>
        <v>2.084085879422304E-4</v>
      </c>
      <c r="P19">
        <f t="shared" si="1"/>
        <v>4.3592506539490671E-4</v>
      </c>
      <c r="Q19">
        <f t="shared" si="1"/>
        <v>0.99935580060334983</v>
      </c>
      <c r="R19">
        <f t="shared" si="1"/>
        <v>1.1421729341185183E-4</v>
      </c>
      <c r="S19">
        <f t="shared" si="1"/>
        <v>0.99976232321899694</v>
      </c>
      <c r="T19">
        <f t="shared" si="1"/>
        <v>1.000123459487591</v>
      </c>
      <c r="U19">
        <f t="shared" si="1"/>
        <v>4.7982667598956499E-11</v>
      </c>
      <c r="V19">
        <f t="shared" si="1"/>
        <v>2.0827433125562085E-4</v>
      </c>
    </row>
    <row r="20" spans="1:50" x14ac:dyDescent="0.15">
      <c r="A20" s="9" t="s">
        <v>75</v>
      </c>
      <c r="B20" s="29">
        <v>2.0840858794249134E-4</v>
      </c>
      <c r="C20" s="29">
        <v>4.3592506539497864E-4</v>
      </c>
      <c r="D20" s="29">
        <v>0.99935580060335016</v>
      </c>
      <c r="E20" s="29">
        <v>1.1421729341173277E-4</v>
      </c>
      <c r="F20" s="29">
        <v>0.9997623232189965</v>
      </c>
      <c r="G20" s="29">
        <v>1.0001234594875921</v>
      </c>
      <c r="H20" s="29">
        <v>4.798266759878327E-11</v>
      </c>
      <c r="I20" s="29">
        <v>2.082743312548116E-4</v>
      </c>
      <c r="J20" s="29">
        <v>0.99956407493460508</v>
      </c>
      <c r="K20" s="29">
        <v>1.9998857827065877</v>
      </c>
      <c r="L20" s="29">
        <v>1.0001234594875921</v>
      </c>
      <c r="M20" s="29">
        <v>9.9999520173324044E-6</v>
      </c>
      <c r="N20" s="29">
        <v>2.082743312548116E-4</v>
      </c>
      <c r="O20" s="29">
        <v>-8.4760100399982807</v>
      </c>
      <c r="P20" s="29">
        <v>-7.7380401977466047</v>
      </c>
      <c r="Q20" s="29">
        <v>-6.4440698223728731E-4</v>
      </c>
      <c r="R20" s="29">
        <v>-9.077407841279971</v>
      </c>
      <c r="S20" s="29">
        <v>-2.3770503060548901E-4</v>
      </c>
      <c r="T20" s="29">
        <v>1.2345186709560203E-4</v>
      </c>
      <c r="U20" s="29">
        <v>-23.760181261918365</v>
      </c>
      <c r="V20" s="29">
        <v>-8.4766544469805201</v>
      </c>
      <c r="AB20" s="2" t="s">
        <v>44</v>
      </c>
      <c r="AR20" s="9"/>
    </row>
    <row r="21" spans="1:50" x14ac:dyDescent="0.15"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  <c r="H21" s="2" t="s">
        <v>13</v>
      </c>
      <c r="I21" t="s">
        <v>57</v>
      </c>
      <c r="J21" s="2" t="s">
        <v>14</v>
      </c>
      <c r="K21" s="2" t="s">
        <v>15</v>
      </c>
      <c r="L21" s="2" t="s">
        <v>16</v>
      </c>
      <c r="M21" s="2" t="s">
        <v>17</v>
      </c>
      <c r="N21" t="s">
        <v>56</v>
      </c>
      <c r="O21" s="2" t="s">
        <v>7</v>
      </c>
      <c r="P21" s="2" t="s">
        <v>8</v>
      </c>
      <c r="Q21" s="2" t="s">
        <v>9</v>
      </c>
      <c r="R21" s="2" t="s">
        <v>10</v>
      </c>
      <c r="S21" s="2" t="s">
        <v>11</v>
      </c>
      <c r="T21" s="2" t="s">
        <v>12</v>
      </c>
      <c r="U21" s="2" t="s">
        <v>13</v>
      </c>
      <c r="V21" t="s">
        <v>57</v>
      </c>
      <c r="X21" t="s">
        <v>30</v>
      </c>
      <c r="Y21" s="2"/>
      <c r="Z21" s="2"/>
      <c r="AA21" s="2"/>
      <c r="AB21" s="2" t="s">
        <v>7</v>
      </c>
      <c r="AC21" s="2" t="s">
        <v>8</v>
      </c>
      <c r="AD21" s="2" t="s">
        <v>9</v>
      </c>
      <c r="AE21" s="2" t="s">
        <v>10</v>
      </c>
      <c r="AF21" s="2" t="s">
        <v>11</v>
      </c>
      <c r="AG21" s="2" t="s">
        <v>12</v>
      </c>
      <c r="AH21" s="2" t="s">
        <v>13</v>
      </c>
      <c r="AI21" t="s">
        <v>57</v>
      </c>
      <c r="AJ21" s="2" t="s">
        <v>14</v>
      </c>
      <c r="AK21" s="2" t="s">
        <v>15</v>
      </c>
      <c r="AL21" s="2" t="s">
        <v>16</v>
      </c>
      <c r="AM21" s="2" t="s">
        <v>17</v>
      </c>
      <c r="AN21" t="s">
        <v>56</v>
      </c>
      <c r="AO21" s="2" t="s">
        <v>7</v>
      </c>
      <c r="AP21" s="2" t="s">
        <v>8</v>
      </c>
      <c r="AQ21" s="2" t="s">
        <v>9</v>
      </c>
      <c r="AR21" s="2" t="s">
        <v>10</v>
      </c>
      <c r="AS21" s="2" t="s">
        <v>11</v>
      </c>
      <c r="AT21" s="2" t="s">
        <v>12</v>
      </c>
      <c r="AU21" s="2" t="s">
        <v>13</v>
      </c>
      <c r="AV21" t="s">
        <v>57</v>
      </c>
      <c r="AX21" t="s">
        <v>61</v>
      </c>
    </row>
    <row r="22" spans="1:50" x14ac:dyDescent="0.15">
      <c r="A22" t="s">
        <v>24</v>
      </c>
      <c r="B22" s="2">
        <v>1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19">
        <f t="array" ref="J22:N29">TRANSPOSE(E8:L12)</f>
        <v>1</v>
      </c>
      <c r="K22" s="19">
        <v>1</v>
      </c>
      <c r="L22" s="19">
        <v>1</v>
      </c>
      <c r="M22" s="19">
        <v>1</v>
      </c>
      <c r="N22" s="19">
        <v>1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X22" s="20">
        <f t="array" ref="X22:X29">TRANSPOSE(E13:L13)</f>
        <v>4</v>
      </c>
      <c r="Y22" s="2"/>
      <c r="AB22">
        <f t="array" ref="AB22:AV42">MINVERSE(B22:V42)</f>
        <v>4.1591796892854219E-4</v>
      </c>
      <c r="AC22">
        <v>-4.1582328489766466E-4</v>
      </c>
      <c r="AD22">
        <v>9.4684030968331459E-8</v>
      </c>
      <c r="AE22">
        <v>-6.2387887539017215E-4</v>
      </c>
      <c r="AF22">
        <v>-2.0796090646161305E-4</v>
      </c>
      <c r="AG22">
        <v>2.0795706246698158E-4</v>
      </c>
      <c r="AH22">
        <v>-4.1591796892855953E-4</v>
      </c>
      <c r="AI22">
        <v>4.1601265295954093E-4</v>
      </c>
      <c r="AJ22">
        <v>-1.8126779266169988E-7</v>
      </c>
      <c r="AK22">
        <v>-7.125775656393118E-8</v>
      </c>
      <c r="AL22">
        <v>-2.0798273673935494E-4</v>
      </c>
      <c r="AM22">
        <v>-1.9956853651536285E-14</v>
      </c>
      <c r="AN22">
        <v>-8.6644757089053429E-8</v>
      </c>
      <c r="AO22">
        <v>0.9995840820310713</v>
      </c>
      <c r="AP22">
        <v>4.1582328489766466E-4</v>
      </c>
      <c r="AQ22">
        <v>-9.4684030968331459E-8</v>
      </c>
      <c r="AR22">
        <v>6.2387887539017215E-4</v>
      </c>
      <c r="AS22">
        <v>2.0796090646161305E-4</v>
      </c>
      <c r="AT22">
        <v>-2.0795706246698158E-4</v>
      </c>
      <c r="AU22">
        <v>4.1591796892855953E-4</v>
      </c>
      <c r="AV22">
        <v>-4.1601265295954093E-4</v>
      </c>
      <c r="AX22">
        <f t="array" ref="AX22:AX42">MMULT(AB22:AV42,X22:X42)</f>
        <v>2.0840858794205064E-4</v>
      </c>
    </row>
    <row r="23" spans="1:50" x14ac:dyDescent="0.15">
      <c r="A23" t="s">
        <v>25</v>
      </c>
      <c r="B23" s="2">
        <v>0</v>
      </c>
      <c r="C23" s="2">
        <v>1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19">
        <v>1</v>
      </c>
      <c r="K23" s="19">
        <v>0</v>
      </c>
      <c r="L23" s="19">
        <v>0</v>
      </c>
      <c r="M23" s="19">
        <v>0</v>
      </c>
      <c r="N23" s="19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X23" s="20">
        <v>1</v>
      </c>
      <c r="AB23">
        <v>-8.6977122416837264E-4</v>
      </c>
      <c r="AC23">
        <v>1.3054982855055242E-3</v>
      </c>
      <c r="AD23">
        <v>4.3572706133719136E-4</v>
      </c>
      <c r="AE23">
        <v>1.3046608555498862E-3</v>
      </c>
      <c r="AF23">
        <v>4.3488963138147601E-4</v>
      </c>
      <c r="AG23">
        <v>-4.3488159278693063E-4</v>
      </c>
      <c r="AH23">
        <v>8.6977122416838999E-4</v>
      </c>
      <c r="AI23">
        <v>-4.340441628311931E-4</v>
      </c>
      <c r="AJ23">
        <v>-4.3535596596942474E-4</v>
      </c>
      <c r="AK23">
        <v>1.4901483174138537E-7</v>
      </c>
      <c r="AL23">
        <v>4.3493528304553873E-4</v>
      </c>
      <c r="AM23">
        <v>4.1733943536408167E-14</v>
      </c>
      <c r="AN23">
        <v>9.0400257749091991E-8</v>
      </c>
      <c r="AO23">
        <v>8.6977122416837264E-4</v>
      </c>
      <c r="AP23">
        <v>0.99869450171449448</v>
      </c>
      <c r="AQ23">
        <v>-4.3572706133719136E-4</v>
      </c>
      <c r="AR23">
        <v>-1.3046608555498862E-3</v>
      </c>
      <c r="AS23">
        <v>-4.3488963138147601E-4</v>
      </c>
      <c r="AT23">
        <v>4.3488159278693063E-4</v>
      </c>
      <c r="AU23">
        <v>-8.6977122416838999E-4</v>
      </c>
      <c r="AV23">
        <v>4.340441628311931E-4</v>
      </c>
      <c r="AX23">
        <v>4.3592506539497956E-4</v>
      </c>
    </row>
    <row r="24" spans="1:50" x14ac:dyDescent="0.15">
      <c r="A24" t="s">
        <v>26</v>
      </c>
      <c r="B24" s="2">
        <v>0</v>
      </c>
      <c r="C24" s="2">
        <v>0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19">
        <v>-1</v>
      </c>
      <c r="K24" s="19">
        <v>0</v>
      </c>
      <c r="L24" s="19">
        <v>0</v>
      </c>
      <c r="M24" s="19">
        <v>0</v>
      </c>
      <c r="N24" s="19">
        <v>1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X24" s="20">
        <v>0</v>
      </c>
      <c r="AB24">
        <v>4.5402656630868897E-4</v>
      </c>
      <c r="AC24">
        <v>0.9989018773965217</v>
      </c>
      <c r="AD24">
        <v>0.99935590396283047</v>
      </c>
      <c r="AE24">
        <v>-6.8104194756434336E-4</v>
      </c>
      <c r="AF24">
        <v>-2.2701538125528386E-4</v>
      </c>
      <c r="AG24">
        <v>2.2701118505343907E-4</v>
      </c>
      <c r="AH24">
        <v>-4.5402656630870632E-4</v>
      </c>
      <c r="AI24">
        <v>0.99980993052913925</v>
      </c>
      <c r="AJ24">
        <v>4.3544636622717378E-4</v>
      </c>
      <c r="AK24">
        <v>-7.7786767902613286E-8</v>
      </c>
      <c r="AL24">
        <v>-2.2703921173810435E-4</v>
      </c>
      <c r="AM24">
        <v>-2.1785405812286889E-14</v>
      </c>
      <c r="AN24">
        <v>-2.0823474466380638E-4</v>
      </c>
      <c r="AO24">
        <v>-4.5402656630868897E-4</v>
      </c>
      <c r="AP24">
        <v>-0.9989018773965217</v>
      </c>
      <c r="AQ24">
        <v>6.4409603716950948E-4</v>
      </c>
      <c r="AR24">
        <v>6.8104194756434336E-4</v>
      </c>
      <c r="AS24">
        <v>2.2701538125528386E-4</v>
      </c>
      <c r="AT24">
        <v>-2.2701118505343907E-4</v>
      </c>
      <c r="AU24">
        <v>4.5402656630870632E-4</v>
      </c>
      <c r="AV24">
        <v>-0.99980993052913925</v>
      </c>
      <c r="AX24">
        <v>0.99935580060334994</v>
      </c>
    </row>
    <row r="25" spans="1:50" x14ac:dyDescent="0.15">
      <c r="A25" t="s">
        <v>27</v>
      </c>
      <c r="B25" s="2">
        <v>0</v>
      </c>
      <c r="C25" s="2">
        <v>0</v>
      </c>
      <c r="D25" s="2">
        <v>0</v>
      </c>
      <c r="E25" s="2">
        <v>1</v>
      </c>
      <c r="F25" s="2">
        <v>0</v>
      </c>
      <c r="G25" s="2">
        <v>0</v>
      </c>
      <c r="H25" s="2">
        <v>0</v>
      </c>
      <c r="I25" s="2">
        <v>0</v>
      </c>
      <c r="J25" s="19">
        <v>0</v>
      </c>
      <c r="K25" s="19">
        <v>1</v>
      </c>
      <c r="L25" s="19">
        <v>0</v>
      </c>
      <c r="M25" s="19">
        <v>0</v>
      </c>
      <c r="N25" s="19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X25" s="20">
        <v>2</v>
      </c>
      <c r="AB25">
        <v>-3.4191372470512241E-4</v>
      </c>
      <c r="AC25">
        <v>3.4183588779487014E-4</v>
      </c>
      <c r="AD25">
        <v>-7.7836910380914715E-8</v>
      </c>
      <c r="AE25">
        <v>5.6998081378023535E-4</v>
      </c>
      <c r="AF25">
        <v>2.280670890750056E-4</v>
      </c>
      <c r="AG25">
        <v>-1.1384663563009795E-4</v>
      </c>
      <c r="AH25">
        <v>3.4191372470513976E-4</v>
      </c>
      <c r="AI25">
        <v>-3.4199156161549574E-4</v>
      </c>
      <c r="AJ25">
        <v>1.4901483174121046E-7</v>
      </c>
      <c r="AK25">
        <v>-1.1415219174605535E-4</v>
      </c>
      <c r="AL25">
        <v>1.1386069107742236E-4</v>
      </c>
      <c r="AM25">
        <v>1.6405932600045448E-14</v>
      </c>
      <c r="AN25">
        <v>7.1228063822097275E-8</v>
      </c>
      <c r="AO25">
        <v>3.4191372470512241E-4</v>
      </c>
      <c r="AP25">
        <v>-3.4183588779487014E-4</v>
      </c>
      <c r="AQ25">
        <v>7.7836910380914715E-8</v>
      </c>
      <c r="AR25">
        <v>0.99943001918621976</v>
      </c>
      <c r="AS25">
        <v>-2.280670890750056E-4</v>
      </c>
      <c r="AT25">
        <v>1.1384663563009795E-4</v>
      </c>
      <c r="AU25">
        <v>-3.4191372470513976E-4</v>
      </c>
      <c r="AV25">
        <v>3.4199156161549574E-4</v>
      </c>
      <c r="AX25">
        <v>1.1421729341060589E-4</v>
      </c>
    </row>
    <row r="26" spans="1:50" x14ac:dyDescent="0.15">
      <c r="A26" t="s">
        <v>28</v>
      </c>
      <c r="B26" s="2">
        <v>0</v>
      </c>
      <c r="C26" s="2">
        <v>0</v>
      </c>
      <c r="D26" s="2">
        <v>0</v>
      </c>
      <c r="E26" s="2">
        <v>0</v>
      </c>
      <c r="F26" s="2">
        <v>1</v>
      </c>
      <c r="G26" s="2">
        <v>0</v>
      </c>
      <c r="H26" s="2">
        <v>0</v>
      </c>
      <c r="I26" s="2">
        <v>0</v>
      </c>
      <c r="J26" s="19">
        <v>0</v>
      </c>
      <c r="K26" s="19">
        <v>-1</v>
      </c>
      <c r="L26" s="19">
        <v>1</v>
      </c>
      <c r="M26" s="19">
        <v>0</v>
      </c>
      <c r="N26" s="19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X26" s="20">
        <v>0</v>
      </c>
      <c r="AB26">
        <v>-0.99761473860387473</v>
      </c>
      <c r="AC26">
        <v>0.99738763087624327</v>
      </c>
      <c r="AD26">
        <v>-2.2710772763134357E-4</v>
      </c>
      <c r="AE26">
        <v>1.9963078795898759</v>
      </c>
      <c r="AF26">
        <v>0.99869314098600115</v>
      </c>
      <c r="AG26">
        <v>1.0784023821263111E-3</v>
      </c>
      <c r="AH26">
        <v>0.99761473860387473</v>
      </c>
      <c r="AI26">
        <v>-0.99784184633150608</v>
      </c>
      <c r="AJ26">
        <v>4.3478626821379763E-4</v>
      </c>
      <c r="AK26">
        <v>2.2801288282356069E-4</v>
      </c>
      <c r="AL26">
        <v>-1.0785355211317951E-3</v>
      </c>
      <c r="AM26">
        <v>4.7868216394249605E-11</v>
      </c>
      <c r="AN26">
        <v>2.0782484324362641E-4</v>
      </c>
      <c r="AO26">
        <v>0.99761473860387473</v>
      </c>
      <c r="AP26">
        <v>-0.99738763087624327</v>
      </c>
      <c r="AQ26">
        <v>2.2710772763134357E-4</v>
      </c>
      <c r="AR26">
        <v>-1.9963078795898759</v>
      </c>
      <c r="AS26">
        <v>1.3068590139988887E-3</v>
      </c>
      <c r="AT26">
        <v>-1.0784023821263111E-3</v>
      </c>
      <c r="AU26">
        <v>-0.99761473860387473</v>
      </c>
      <c r="AV26">
        <v>0.99784184633150608</v>
      </c>
      <c r="AX26">
        <v>0.99976232321899849</v>
      </c>
    </row>
    <row r="27" spans="1:50" x14ac:dyDescent="0.15">
      <c r="A27" t="s">
        <v>31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1</v>
      </c>
      <c r="H27" s="2">
        <v>0</v>
      </c>
      <c r="I27" s="2">
        <v>0</v>
      </c>
      <c r="J27" s="19">
        <v>0</v>
      </c>
      <c r="K27" s="19">
        <v>0</v>
      </c>
      <c r="L27" s="19">
        <v>-1</v>
      </c>
      <c r="M27" s="19">
        <v>0</v>
      </c>
      <c r="N27" s="19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X27" s="20">
        <v>0</v>
      </c>
      <c r="AB27">
        <v>0.99795665232857989</v>
      </c>
      <c r="AC27">
        <v>-0.99772946676403818</v>
      </c>
      <c r="AD27">
        <v>2.2718556454172449E-4</v>
      </c>
      <c r="AE27">
        <v>-0.99687786040365622</v>
      </c>
      <c r="AF27">
        <v>1.0787919249238831E-3</v>
      </c>
      <c r="AG27">
        <v>0.99903544425350377</v>
      </c>
      <c r="AH27">
        <v>-0.99795665232857989</v>
      </c>
      <c r="AI27">
        <v>0.99818383789312159</v>
      </c>
      <c r="AJ27">
        <v>-4.3493528304553884E-4</v>
      </c>
      <c r="AK27">
        <v>-1.1386069107750533E-4</v>
      </c>
      <c r="AL27">
        <v>9.6467483005437268E-4</v>
      </c>
      <c r="AM27">
        <v>-4.7884622326849652E-11</v>
      </c>
      <c r="AN27">
        <v>-2.078960713074485E-4</v>
      </c>
      <c r="AO27">
        <v>-0.99795665232857989</v>
      </c>
      <c r="AP27">
        <v>0.99772946676403818</v>
      </c>
      <c r="AQ27">
        <v>-2.2718556454172449E-4</v>
      </c>
      <c r="AR27">
        <v>0.99687786040365622</v>
      </c>
      <c r="AS27">
        <v>-1.0787919249238831E-3</v>
      </c>
      <c r="AT27">
        <v>9.6455574649621301E-4</v>
      </c>
      <c r="AU27">
        <v>0.99795665232857989</v>
      </c>
      <c r="AV27">
        <v>-0.99818383789312159</v>
      </c>
      <c r="AX27">
        <v>1.000123459487591</v>
      </c>
    </row>
    <row r="28" spans="1:50" x14ac:dyDescent="0.15">
      <c r="A28" t="s">
        <v>32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19">
        <v>0</v>
      </c>
      <c r="K28" s="19">
        <v>0</v>
      </c>
      <c r="L28" s="19">
        <v>0</v>
      </c>
      <c r="M28" s="19">
        <v>1</v>
      </c>
      <c r="N28" s="19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X28" s="20">
        <v>1.0000000000000001E-5</v>
      </c>
      <c r="AB28">
        <v>-9.5758307508257779E-11</v>
      </c>
      <c r="AC28">
        <v>9.5736508059253582E-11</v>
      </c>
      <c r="AD28">
        <v>-2.1799449004188161E-14</v>
      </c>
      <c r="AE28">
        <v>1.436379037708228E-10</v>
      </c>
      <c r="AF28">
        <v>4.787959626256502E-11</v>
      </c>
      <c r="AG28">
        <v>-4.7878711245692752E-11</v>
      </c>
      <c r="AH28">
        <v>9.5758290186154227E-11</v>
      </c>
      <c r="AI28">
        <v>-9.5780106957261964E-11</v>
      </c>
      <c r="AJ28">
        <v>4.1733943536410143E-14</v>
      </c>
      <c r="AK28">
        <v>1.6405932600059152E-14</v>
      </c>
      <c r="AL28">
        <v>4.7884622326849652E-11</v>
      </c>
      <c r="AM28">
        <v>-4.7982667594361763E-11</v>
      </c>
      <c r="AN28">
        <v>1.9948537724121547E-14</v>
      </c>
      <c r="AO28">
        <v>9.5758307508257779E-11</v>
      </c>
      <c r="AP28">
        <v>-9.5736508059253582E-11</v>
      </c>
      <c r="AQ28">
        <v>2.1799449004188161E-14</v>
      </c>
      <c r="AR28">
        <v>-1.436379037708228E-10</v>
      </c>
      <c r="AS28">
        <v>-4.787959626256502E-11</v>
      </c>
      <c r="AT28">
        <v>4.7878711245692752E-11</v>
      </c>
      <c r="AU28">
        <v>0.99999999990424171</v>
      </c>
      <c r="AV28">
        <v>9.5780106957261964E-11</v>
      </c>
      <c r="AX28">
        <v>4.7982667598783476E-11</v>
      </c>
    </row>
    <row r="29" spans="1:50" x14ac:dyDescent="0.15">
      <c r="A29" t="s">
        <v>58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1</v>
      </c>
      <c r="J29" s="19">
        <v>0</v>
      </c>
      <c r="K29" s="19">
        <v>0</v>
      </c>
      <c r="L29" s="19">
        <v>0</v>
      </c>
      <c r="M29" s="19">
        <v>0</v>
      </c>
      <c r="N29" s="19">
        <v>-1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X29" s="20">
        <v>0</v>
      </c>
      <c r="AB29">
        <v>4.1574465785968368E-4</v>
      </c>
      <c r="AC29">
        <v>-2.0737568202722212E-4</v>
      </c>
      <c r="AD29">
        <v>2.0836897583231817E-4</v>
      </c>
      <c r="AE29">
        <v>-6.2361890798554281E-4</v>
      </c>
      <c r="AF29">
        <v>-2.0787425012619215E-4</v>
      </c>
      <c r="AG29">
        <v>2.0787040773349156E-4</v>
      </c>
      <c r="AH29">
        <v>-4.1574465785968368E-4</v>
      </c>
      <c r="AI29">
        <v>6.2411363369196948E-4</v>
      </c>
      <c r="AJ29">
        <v>-9.0400257749044359E-8</v>
      </c>
      <c r="AK29">
        <v>-7.1228063838772084E-8</v>
      </c>
      <c r="AL29">
        <v>-2.0789607130743438E-4</v>
      </c>
      <c r="AM29">
        <v>-1.9948537724121279E-14</v>
      </c>
      <c r="AN29">
        <v>2.0814434440605728E-4</v>
      </c>
      <c r="AO29">
        <v>-4.1574465785968368E-4</v>
      </c>
      <c r="AP29">
        <v>2.0737568202722212E-4</v>
      </c>
      <c r="AQ29">
        <v>-2.0836897583231817E-4</v>
      </c>
      <c r="AR29">
        <v>6.2361890798554281E-4</v>
      </c>
      <c r="AS29">
        <v>2.0787425012619215E-4</v>
      </c>
      <c r="AT29">
        <v>-2.0787040773349156E-4</v>
      </c>
      <c r="AU29">
        <v>4.1574465785968368E-4</v>
      </c>
      <c r="AV29">
        <v>0.99937588636630803</v>
      </c>
      <c r="AX29">
        <v>2.0827433125494474E-4</v>
      </c>
    </row>
    <row r="30" spans="1:50" x14ac:dyDescent="0.15">
      <c r="A30" t="s">
        <v>33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19">
        <f t="array" ref="O30:V34">-E8:L12</f>
        <v>-1</v>
      </c>
      <c r="P30" s="19">
        <v>-1</v>
      </c>
      <c r="Q30" s="19">
        <v>1</v>
      </c>
      <c r="R30" s="19">
        <v>0</v>
      </c>
      <c r="S30" s="19">
        <v>0</v>
      </c>
      <c r="T30" s="19">
        <v>0</v>
      </c>
      <c r="U30" s="19">
        <v>0</v>
      </c>
      <c r="V30" s="19">
        <v>0</v>
      </c>
      <c r="X30" s="20">
        <f t="array" ref="X30:X34">D8:D12</f>
        <v>16.213405830762646</v>
      </c>
      <c r="AB30">
        <v>8.6977122416837264E-4</v>
      </c>
      <c r="AC30">
        <v>0.99869450171449448</v>
      </c>
      <c r="AD30">
        <v>-4.3572706133719136E-4</v>
      </c>
      <c r="AE30">
        <v>-1.3046608555498862E-3</v>
      </c>
      <c r="AF30">
        <v>-4.3488963138147601E-4</v>
      </c>
      <c r="AG30">
        <v>4.3488159278693063E-4</v>
      </c>
      <c r="AH30">
        <v>-8.6977122416838999E-4</v>
      </c>
      <c r="AI30">
        <v>4.340441628311931E-4</v>
      </c>
      <c r="AJ30">
        <v>4.3535596596942474E-4</v>
      </c>
      <c r="AK30">
        <v>-1.4901483174138537E-7</v>
      </c>
      <c r="AL30">
        <v>-4.3493528304553873E-4</v>
      </c>
      <c r="AM30">
        <v>-4.1733943536408167E-14</v>
      </c>
      <c r="AN30">
        <v>-9.0400257749091991E-8</v>
      </c>
      <c r="AO30">
        <v>-8.6977122416837264E-4</v>
      </c>
      <c r="AP30">
        <v>-0.99869450171449448</v>
      </c>
      <c r="AQ30">
        <v>4.3572706133719136E-4</v>
      </c>
      <c r="AR30">
        <v>1.3046608555498862E-3</v>
      </c>
      <c r="AS30">
        <v>4.3488963138147601E-4</v>
      </c>
      <c r="AT30">
        <v>-4.3488159278693063E-4</v>
      </c>
      <c r="AU30">
        <v>8.6977122416838999E-4</v>
      </c>
      <c r="AV30">
        <v>-4.340441628311931E-4</v>
      </c>
      <c r="AX30">
        <v>0.99956407493460508</v>
      </c>
    </row>
    <row r="31" spans="1:50" x14ac:dyDescent="0.15">
      <c r="A31" t="s">
        <v>34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19">
        <v>-1</v>
      </c>
      <c r="P31" s="19">
        <v>0</v>
      </c>
      <c r="Q31" s="19">
        <v>0</v>
      </c>
      <c r="R31" s="19">
        <v>-1</v>
      </c>
      <c r="S31" s="19">
        <v>1</v>
      </c>
      <c r="T31" s="19">
        <v>0</v>
      </c>
      <c r="U31" s="19">
        <v>0</v>
      </c>
      <c r="V31" s="19">
        <v>0</v>
      </c>
      <c r="X31" s="20">
        <v>17.553180176247643</v>
      </c>
      <c r="AB31">
        <v>3.4191372470512241E-4</v>
      </c>
      <c r="AC31">
        <v>-3.4183588779487014E-4</v>
      </c>
      <c r="AD31">
        <v>7.7836910380914715E-8</v>
      </c>
      <c r="AE31">
        <v>0.99943001918621976</v>
      </c>
      <c r="AF31">
        <v>-2.280670890750056E-4</v>
      </c>
      <c r="AG31">
        <v>1.1384663563009795E-4</v>
      </c>
      <c r="AH31">
        <v>-3.4191372470513976E-4</v>
      </c>
      <c r="AI31">
        <v>3.4199156161549574E-4</v>
      </c>
      <c r="AJ31">
        <v>-1.4901483174121046E-7</v>
      </c>
      <c r="AK31">
        <v>1.1415219174605535E-4</v>
      </c>
      <c r="AL31">
        <v>-1.1386069107742236E-4</v>
      </c>
      <c r="AM31">
        <v>-1.6405932600045448E-14</v>
      </c>
      <c r="AN31">
        <v>-7.1228063822097275E-8</v>
      </c>
      <c r="AO31">
        <v>-3.4191372470512241E-4</v>
      </c>
      <c r="AP31">
        <v>3.4183588779487014E-4</v>
      </c>
      <c r="AQ31">
        <v>-7.7836910380914715E-8</v>
      </c>
      <c r="AR31">
        <v>-0.99943001918621976</v>
      </c>
      <c r="AS31">
        <v>2.280670890750056E-4</v>
      </c>
      <c r="AT31">
        <v>-1.1384663563009795E-4</v>
      </c>
      <c r="AU31">
        <v>3.4191372470513976E-4</v>
      </c>
      <c r="AV31">
        <v>-3.4199156161549574E-4</v>
      </c>
      <c r="AX31">
        <v>1.999885782706589</v>
      </c>
    </row>
    <row r="32" spans="1:50" x14ac:dyDescent="0.15">
      <c r="A32" t="s">
        <v>35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19">
        <v>-1</v>
      </c>
      <c r="P32" s="19">
        <v>0</v>
      </c>
      <c r="Q32" s="19">
        <v>0</v>
      </c>
      <c r="R32" s="19">
        <v>0</v>
      </c>
      <c r="S32" s="19">
        <v>-1</v>
      </c>
      <c r="T32" s="19">
        <v>1</v>
      </c>
      <c r="U32" s="19">
        <v>0</v>
      </c>
      <c r="V32" s="19">
        <v>0</v>
      </c>
      <c r="X32" s="20">
        <v>8.4763711968959825</v>
      </c>
      <c r="AB32">
        <v>0.99795665232857989</v>
      </c>
      <c r="AC32">
        <v>-0.99772946676403818</v>
      </c>
      <c r="AD32">
        <v>2.2718556454172449E-4</v>
      </c>
      <c r="AE32">
        <v>-0.99687786040365622</v>
      </c>
      <c r="AF32">
        <v>1.0787919249238831E-3</v>
      </c>
      <c r="AG32">
        <v>-9.6455574649621301E-4</v>
      </c>
      <c r="AH32">
        <v>-0.99795665232857989</v>
      </c>
      <c r="AI32">
        <v>0.99818383789312159</v>
      </c>
      <c r="AJ32">
        <v>-4.3493528304553884E-4</v>
      </c>
      <c r="AK32">
        <v>-1.1386069107750533E-4</v>
      </c>
      <c r="AL32">
        <v>9.6467483005437268E-4</v>
      </c>
      <c r="AM32">
        <v>-4.7884622326849652E-11</v>
      </c>
      <c r="AN32">
        <v>-2.078960713074485E-4</v>
      </c>
      <c r="AO32">
        <v>-0.99795665232857989</v>
      </c>
      <c r="AP32">
        <v>0.99772946676403818</v>
      </c>
      <c r="AQ32">
        <v>-2.2718556454172449E-4</v>
      </c>
      <c r="AR32">
        <v>0.99687786040365622</v>
      </c>
      <c r="AS32">
        <v>-1.0787919249238831E-3</v>
      </c>
      <c r="AT32">
        <v>9.6455574649621301E-4</v>
      </c>
      <c r="AU32">
        <v>0.99795665232857989</v>
      </c>
      <c r="AV32">
        <v>-0.99818383789312159</v>
      </c>
      <c r="AX32">
        <v>1.000123459487591</v>
      </c>
    </row>
    <row r="33" spans="1:50" x14ac:dyDescent="0.15">
      <c r="A33" t="s">
        <v>36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19">
        <v>-1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-1</v>
      </c>
      <c r="V33" s="19">
        <v>0</v>
      </c>
      <c r="X33" s="20">
        <v>32.236191301916641</v>
      </c>
      <c r="AB33">
        <v>9.5758307508257779E-11</v>
      </c>
      <c r="AC33">
        <v>-9.5736508059253582E-11</v>
      </c>
      <c r="AD33">
        <v>2.1799449004188161E-14</v>
      </c>
      <c r="AE33">
        <v>-1.436379037708228E-10</v>
      </c>
      <c r="AF33">
        <v>-4.787959626256502E-11</v>
      </c>
      <c r="AG33">
        <v>4.7878711245692752E-11</v>
      </c>
      <c r="AH33">
        <v>0.99999999990424171</v>
      </c>
      <c r="AI33">
        <v>9.5780106957261964E-11</v>
      </c>
      <c r="AJ33">
        <v>-4.1733943536410143E-14</v>
      </c>
      <c r="AK33">
        <v>-1.6405932600059152E-14</v>
      </c>
      <c r="AL33">
        <v>-4.7884622326849652E-11</v>
      </c>
      <c r="AM33">
        <v>4.7982667594361763E-11</v>
      </c>
      <c r="AN33">
        <v>-1.9948537724121547E-14</v>
      </c>
      <c r="AO33">
        <v>-9.5758307508257779E-11</v>
      </c>
      <c r="AP33">
        <v>9.5736508059253582E-11</v>
      </c>
      <c r="AQ33">
        <v>-2.1799449004188161E-14</v>
      </c>
      <c r="AR33">
        <v>1.436379037708228E-10</v>
      </c>
      <c r="AS33">
        <v>4.787959626256502E-11</v>
      </c>
      <c r="AT33">
        <v>-4.7878711245692752E-11</v>
      </c>
      <c r="AU33">
        <v>-0.99999999990424171</v>
      </c>
      <c r="AV33">
        <v>-9.5780106957261964E-11</v>
      </c>
      <c r="AX33">
        <v>9.9999520173324044E-6</v>
      </c>
    </row>
    <row r="34" spans="1:50" x14ac:dyDescent="0.15">
      <c r="A34" t="s">
        <v>59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19">
        <v>-1</v>
      </c>
      <c r="P34" s="19">
        <v>0</v>
      </c>
      <c r="Q34" s="19">
        <v>-1</v>
      </c>
      <c r="R34" s="19">
        <v>0</v>
      </c>
      <c r="S34" s="19">
        <v>0</v>
      </c>
      <c r="T34" s="19">
        <v>0</v>
      </c>
      <c r="U34" s="19">
        <v>0</v>
      </c>
      <c r="V34" s="19">
        <v>1</v>
      </c>
      <c r="X34" s="20">
        <v>0</v>
      </c>
      <c r="AB34">
        <v>4.1574465785968368E-4</v>
      </c>
      <c r="AC34">
        <v>-2.0737568202722212E-4</v>
      </c>
      <c r="AD34">
        <v>2.0836897583231817E-4</v>
      </c>
      <c r="AE34">
        <v>-6.2361890798554281E-4</v>
      </c>
      <c r="AF34">
        <v>-2.0787425012619215E-4</v>
      </c>
      <c r="AG34">
        <v>2.0787040773349156E-4</v>
      </c>
      <c r="AH34">
        <v>-4.1574465785968368E-4</v>
      </c>
      <c r="AI34">
        <v>-0.99937588636630803</v>
      </c>
      <c r="AJ34">
        <v>-9.0400257749044359E-8</v>
      </c>
      <c r="AK34">
        <v>-7.1228063838772084E-8</v>
      </c>
      <c r="AL34">
        <v>-2.0789607130743438E-4</v>
      </c>
      <c r="AM34">
        <v>-1.9948537724121279E-14</v>
      </c>
      <c r="AN34">
        <v>2.0814434440605728E-4</v>
      </c>
      <c r="AO34">
        <v>-4.1574465785968368E-4</v>
      </c>
      <c r="AP34">
        <v>2.0737568202722212E-4</v>
      </c>
      <c r="AQ34">
        <v>-2.0836897583231817E-4</v>
      </c>
      <c r="AR34">
        <v>6.2361890798554281E-4</v>
      </c>
      <c r="AS34">
        <v>2.0787425012619215E-4</v>
      </c>
      <c r="AT34">
        <v>-2.0787040773349156E-4</v>
      </c>
      <c r="AU34">
        <v>4.1574465785968368E-4</v>
      </c>
      <c r="AV34">
        <v>0.99937588636630803</v>
      </c>
      <c r="AX34">
        <v>2.0827433125494474E-4</v>
      </c>
    </row>
    <row r="35" spans="1:50" x14ac:dyDescent="0.15">
      <c r="A35" t="s">
        <v>37</v>
      </c>
      <c r="B35" s="2">
        <v>1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f>-EXP(O$20)</f>
        <v>-2.084085879422304E-4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X35" s="20">
        <f t="shared" ref="X35:X42" si="2">-SUM(O35:V35)*(1-LN(-SUM(O35:V35)))</f>
        <v>1.97488187176244E-3</v>
      </c>
      <c r="AB35">
        <v>1.9956853651534012</v>
      </c>
      <c r="AC35">
        <v>-1.9952310459149127</v>
      </c>
      <c r="AD35">
        <v>4.5431923848815448E-4</v>
      </c>
      <c r="AE35">
        <v>-2.9935372699859344</v>
      </c>
      <c r="AF35">
        <v>-0.99785190483253328</v>
      </c>
      <c r="AG35">
        <v>0.99783346032086784</v>
      </c>
      <c r="AH35">
        <v>-1.9956853651534012</v>
      </c>
      <c r="AI35">
        <v>1.9961396843918893</v>
      </c>
      <c r="AJ35">
        <v>-8.6977122416844388E-4</v>
      </c>
      <c r="AK35">
        <v>-3.4191372470545537E-4</v>
      </c>
      <c r="AL35">
        <v>-0.99795665232858</v>
      </c>
      <c r="AM35">
        <v>-9.5758307508257779E-11</v>
      </c>
      <c r="AN35">
        <v>-4.1574465785967235E-4</v>
      </c>
      <c r="AO35">
        <v>-1.9956853651534012</v>
      </c>
      <c r="AP35">
        <v>1.9952310459149127</v>
      </c>
      <c r="AQ35">
        <v>-4.5431923848815448E-4</v>
      </c>
      <c r="AR35">
        <v>2.9935372699859344</v>
      </c>
      <c r="AS35">
        <v>0.99785190483253328</v>
      </c>
      <c r="AT35">
        <v>-0.99783346032086784</v>
      </c>
      <c r="AU35">
        <v>1.9956853651534012</v>
      </c>
      <c r="AV35">
        <v>-1.9961396843918893</v>
      </c>
      <c r="AX35">
        <v>-8.4760100399982861</v>
      </c>
    </row>
    <row r="36" spans="1:50" x14ac:dyDescent="0.15">
      <c r="A36" t="s">
        <v>38</v>
      </c>
      <c r="B36" s="2">
        <v>0</v>
      </c>
      <c r="C36" s="2">
        <v>1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f>-EXP(P$20)</f>
        <v>-4.3592506539490671E-4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X36" s="20">
        <f t="shared" si="2"/>
        <v>3.8091307446260123E-3</v>
      </c>
      <c r="AB36">
        <v>-1.9952310459149132</v>
      </c>
      <c r="AC36">
        <v>2.9947768301025324</v>
      </c>
      <c r="AD36">
        <v>0.99954578418761952</v>
      </c>
      <c r="AE36">
        <v>2.9928557890287486</v>
      </c>
      <c r="AF36">
        <v>0.99762474311383587</v>
      </c>
      <c r="AG36">
        <v>-0.9976063028010772</v>
      </c>
      <c r="AH36">
        <v>1.9952310459149132</v>
      </c>
      <c r="AI36">
        <v>-0.99568526172729355</v>
      </c>
      <c r="AJ36">
        <v>-0.99869450171449436</v>
      </c>
      <c r="AK36">
        <v>3.4183588779506204E-4</v>
      </c>
      <c r="AL36">
        <v>0.99772946676403829</v>
      </c>
      <c r="AM36">
        <v>9.5736508059253594E-11</v>
      </c>
      <c r="AN36">
        <v>2.0737568202735417E-4</v>
      </c>
      <c r="AO36">
        <v>1.9952310459149132</v>
      </c>
      <c r="AP36">
        <v>-2.9947768301025324</v>
      </c>
      <c r="AQ36">
        <v>-0.99954578418761952</v>
      </c>
      <c r="AR36">
        <v>-2.9928557890287486</v>
      </c>
      <c r="AS36">
        <v>-0.99762474311383587</v>
      </c>
      <c r="AT36">
        <v>0.9976063028010772</v>
      </c>
      <c r="AU36">
        <v>-1.9952310459149132</v>
      </c>
      <c r="AV36">
        <v>0.99568526172729355</v>
      </c>
      <c r="AX36">
        <v>-7.7380401977465985</v>
      </c>
    </row>
    <row r="37" spans="1:50" x14ac:dyDescent="0.15">
      <c r="A37" t="s">
        <v>39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f>-EXP(Q$20)</f>
        <v>-0.99935580060334983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X37" s="20">
        <f t="shared" si="2"/>
        <v>0.99999979245899806</v>
      </c>
      <c r="AB37">
        <v>4.5431923848804345E-4</v>
      </c>
      <c r="AC37">
        <v>0.99954578418761952</v>
      </c>
      <c r="AD37">
        <v>1.0000001034261077</v>
      </c>
      <c r="AE37">
        <v>-6.8148095718578716E-4</v>
      </c>
      <c r="AF37">
        <v>-2.2716171869741064E-4</v>
      </c>
      <c r="AG37">
        <v>2.2715751979063281E-4</v>
      </c>
      <c r="AH37">
        <v>-4.5431923848804345E-4</v>
      </c>
      <c r="AI37">
        <v>1.0004544226645957</v>
      </c>
      <c r="AJ37">
        <v>4.3572706133719136E-4</v>
      </c>
      <c r="AK37">
        <v>-7.783691039332883E-8</v>
      </c>
      <c r="AL37">
        <v>-2.2718556454170979E-4</v>
      </c>
      <c r="AM37">
        <v>-2.1799449004184658E-14</v>
      </c>
      <c r="AN37">
        <v>-2.0836897583231817E-4</v>
      </c>
      <c r="AO37">
        <v>-4.5431923848804345E-4</v>
      </c>
      <c r="AP37">
        <v>-0.99954578418761952</v>
      </c>
      <c r="AQ37">
        <v>-1.0000001034261077</v>
      </c>
      <c r="AR37">
        <v>6.8148095718578716E-4</v>
      </c>
      <c r="AS37">
        <v>2.2716171869741064E-4</v>
      </c>
      <c r="AT37">
        <v>-2.2715751979063281E-4</v>
      </c>
      <c r="AU37">
        <v>4.5431923848804345E-4</v>
      </c>
      <c r="AV37">
        <v>-1.0004544226645957</v>
      </c>
      <c r="AX37">
        <v>-6.4440698223718019E-4</v>
      </c>
    </row>
    <row r="38" spans="1:50" x14ac:dyDescent="0.15">
      <c r="A38" t="s">
        <v>40</v>
      </c>
      <c r="B38" s="2">
        <v>0</v>
      </c>
      <c r="C38" s="2">
        <v>0</v>
      </c>
      <c r="D38" s="2">
        <v>0</v>
      </c>
      <c r="E38" s="2">
        <v>1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f>-EXP(R$20)</f>
        <v>-1.1421729341185183E-4</v>
      </c>
      <c r="S38" s="2">
        <v>0</v>
      </c>
      <c r="T38" s="2">
        <v>0</v>
      </c>
      <c r="U38" s="2">
        <v>0</v>
      </c>
      <c r="V38" s="2">
        <v>0</v>
      </c>
      <c r="X38" s="20">
        <f t="shared" si="2"/>
        <v>1.1510142482383707E-3</v>
      </c>
      <c r="AB38">
        <v>-2.9935372699859344</v>
      </c>
      <c r="AC38">
        <v>2.9928557890287486</v>
      </c>
      <c r="AD38">
        <v>-6.8148095718560512E-4</v>
      </c>
      <c r="AE38">
        <v>4.9903197384052671</v>
      </c>
      <c r="AF38">
        <v>1.9967824684193332</v>
      </c>
      <c r="AG38">
        <v>-0.99675480156660101</v>
      </c>
      <c r="AH38">
        <v>2.9935372699859344</v>
      </c>
      <c r="AI38">
        <v>-2.9942187509431197</v>
      </c>
      <c r="AJ38">
        <v>1.3046608555498829E-3</v>
      </c>
      <c r="AK38">
        <v>-0.99943001918621943</v>
      </c>
      <c r="AL38">
        <v>0.99687786040365611</v>
      </c>
      <c r="AM38">
        <v>1.436379037708228E-10</v>
      </c>
      <c r="AN38">
        <v>6.2361890798592217E-4</v>
      </c>
      <c r="AO38">
        <v>2.9935372699859344</v>
      </c>
      <c r="AP38">
        <v>-2.9928557890287486</v>
      </c>
      <c r="AQ38">
        <v>6.8148095718560512E-4</v>
      </c>
      <c r="AR38">
        <v>-4.9903197384052671</v>
      </c>
      <c r="AS38">
        <v>-1.9967824684193332</v>
      </c>
      <c r="AT38">
        <v>0.99675480156660101</v>
      </c>
      <c r="AU38">
        <v>-2.9935372699859344</v>
      </c>
      <c r="AV38">
        <v>2.9942187509431197</v>
      </c>
      <c r="AX38">
        <v>-9.0774078412799675</v>
      </c>
    </row>
    <row r="39" spans="1:50" x14ac:dyDescent="0.15">
      <c r="A39" t="s">
        <v>41</v>
      </c>
      <c r="B39" s="2">
        <v>0</v>
      </c>
      <c r="C39" s="2">
        <v>0</v>
      </c>
      <c r="D39" s="2">
        <v>0</v>
      </c>
      <c r="E39" s="2">
        <v>0</v>
      </c>
      <c r="F39" s="2">
        <v>1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f>-EXP(S$20)</f>
        <v>-0.99976232321899694</v>
      </c>
      <c r="T39" s="2">
        <v>0</v>
      </c>
      <c r="U39" s="2">
        <v>0</v>
      </c>
      <c r="V39" s="2">
        <v>0</v>
      </c>
      <c r="X39" s="20">
        <f t="shared" si="2"/>
        <v>0.99999997175263589</v>
      </c>
      <c r="AB39">
        <v>-0.99785190483253317</v>
      </c>
      <c r="AC39">
        <v>0.99762474311383575</v>
      </c>
      <c r="AD39">
        <v>-2.2716171869741064E-4</v>
      </c>
      <c r="AE39">
        <v>1.9967824684193332</v>
      </c>
      <c r="AF39">
        <v>0.99893056358679999</v>
      </c>
      <c r="AG39">
        <v>1.0786587542668258E-3</v>
      </c>
      <c r="AH39">
        <v>0.99785190483253317</v>
      </c>
      <c r="AI39">
        <v>-0.99807906655123046</v>
      </c>
      <c r="AJ39">
        <v>4.3488963138147606E-4</v>
      </c>
      <c r="AK39">
        <v>2.2806708907514481E-4</v>
      </c>
      <c r="AL39">
        <v>-1.0787919249238831E-3</v>
      </c>
      <c r="AM39">
        <v>4.787959626256502E-11</v>
      </c>
      <c r="AN39">
        <v>2.0787425012624983E-4</v>
      </c>
      <c r="AO39">
        <v>0.99785190483253317</v>
      </c>
      <c r="AP39">
        <v>-0.99762474311383575</v>
      </c>
      <c r="AQ39">
        <v>2.2716171869741064E-4</v>
      </c>
      <c r="AR39">
        <v>-1.9967824684193332</v>
      </c>
      <c r="AS39">
        <v>-0.99893056358679999</v>
      </c>
      <c r="AT39">
        <v>-1.0786587542668258E-3</v>
      </c>
      <c r="AU39">
        <v>-0.99785190483253317</v>
      </c>
      <c r="AV39">
        <v>0.99807906655123046</v>
      </c>
      <c r="AX39">
        <v>-2.3770503060415588E-4</v>
      </c>
    </row>
    <row r="40" spans="1:50" x14ac:dyDescent="0.15">
      <c r="A40" t="s">
        <v>42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1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f>-EXP(T$20)</f>
        <v>-1.000123459487591</v>
      </c>
      <c r="U40" s="2">
        <v>0</v>
      </c>
      <c r="V40" s="2">
        <v>0</v>
      </c>
      <c r="X40" s="20">
        <f t="shared" si="2"/>
        <v>0.99999999237919113</v>
      </c>
      <c r="AB40">
        <v>0.99783346032086806</v>
      </c>
      <c r="AC40">
        <v>-0.9976063028010772</v>
      </c>
      <c r="AD40">
        <v>2.2715751979079848E-4</v>
      </c>
      <c r="AE40">
        <v>-0.99675480156660123</v>
      </c>
      <c r="AF40">
        <v>1.078658754266731E-3</v>
      </c>
      <c r="AG40">
        <v>0.99891211907513466</v>
      </c>
      <c r="AH40">
        <v>-0.99783346032086806</v>
      </c>
      <c r="AI40">
        <v>0.9980606178406588</v>
      </c>
      <c r="AJ40">
        <v>-4.3488159278693079E-4</v>
      </c>
      <c r="AK40">
        <v>-1.1384663563023065E-4</v>
      </c>
      <c r="AL40">
        <v>9.6455574649607976E-4</v>
      </c>
      <c r="AM40">
        <v>-4.7878711245692759E-11</v>
      </c>
      <c r="AN40">
        <v>-2.0787040773339758E-4</v>
      </c>
      <c r="AO40">
        <v>-0.99783346032086806</v>
      </c>
      <c r="AP40">
        <v>0.9976063028010772</v>
      </c>
      <c r="AQ40">
        <v>-2.2715751979079848E-4</v>
      </c>
      <c r="AR40">
        <v>0.99675480156660123</v>
      </c>
      <c r="AS40">
        <v>-1.078658754266731E-3</v>
      </c>
      <c r="AT40">
        <v>-0.99891211907513466</v>
      </c>
      <c r="AU40">
        <v>0.99783346032086806</v>
      </c>
      <c r="AV40">
        <v>-0.9980606178406588</v>
      </c>
      <c r="AX40">
        <v>1.2345186709548884E-4</v>
      </c>
    </row>
    <row r="41" spans="1:50" x14ac:dyDescent="0.15">
      <c r="A41" t="s">
        <v>43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f>-EXP(U$20)</f>
        <v>-4.7982667598956499E-11</v>
      </c>
      <c r="V41" s="2">
        <v>0</v>
      </c>
      <c r="X41" s="20">
        <f t="shared" si="2"/>
        <v>1.1880595471805402E-9</v>
      </c>
      <c r="AB41">
        <v>-1.9956853651534012</v>
      </c>
      <c r="AC41">
        <v>1.995231045914913</v>
      </c>
      <c r="AD41">
        <v>-4.5431923848815448E-4</v>
      </c>
      <c r="AE41">
        <v>2.9935372699859344</v>
      </c>
      <c r="AF41">
        <v>0.99785190483253328</v>
      </c>
      <c r="AG41">
        <v>-0.99783346032086784</v>
      </c>
      <c r="AH41">
        <v>1.9956853651534012</v>
      </c>
      <c r="AI41">
        <v>-1.9961396843918893</v>
      </c>
      <c r="AJ41">
        <v>8.697712241684068E-4</v>
      </c>
      <c r="AK41">
        <v>3.4191372470537547E-4</v>
      </c>
      <c r="AL41">
        <v>0.99795665232858</v>
      </c>
      <c r="AM41">
        <v>-0.99999999990424171</v>
      </c>
      <c r="AN41">
        <v>4.1574465785965131E-4</v>
      </c>
      <c r="AO41">
        <v>1.9956853651534012</v>
      </c>
      <c r="AP41">
        <v>-1.995231045914913</v>
      </c>
      <c r="AQ41">
        <v>4.5431923848815448E-4</v>
      </c>
      <c r="AR41">
        <v>-2.9935372699859344</v>
      </c>
      <c r="AS41">
        <v>-0.99785190483253328</v>
      </c>
      <c r="AT41">
        <v>0.99783346032086784</v>
      </c>
      <c r="AU41">
        <v>-1.9956853651534012</v>
      </c>
      <c r="AV41">
        <v>1.9961396843918893</v>
      </c>
      <c r="AX41">
        <v>-23.760181261918362</v>
      </c>
    </row>
    <row r="42" spans="1:50" x14ac:dyDescent="0.15">
      <c r="A42" t="s">
        <v>60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1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f>-EXP(V$20)</f>
        <v>-2.0827433125562085E-4</v>
      </c>
      <c r="X42" s="20">
        <f t="shared" si="2"/>
        <v>1.9737438674854732E-3</v>
      </c>
      <c r="AB42">
        <v>1.9961396843918893</v>
      </c>
      <c r="AC42">
        <v>-0.99568526172729321</v>
      </c>
      <c r="AD42">
        <v>1.0004544226645959</v>
      </c>
      <c r="AE42">
        <v>-2.9942187509431197</v>
      </c>
      <c r="AF42">
        <v>-0.99807906655123058</v>
      </c>
      <c r="AG42">
        <v>0.99806061784065847</v>
      </c>
      <c r="AH42">
        <v>-1.9961396843918893</v>
      </c>
      <c r="AI42">
        <v>2.996594107056485</v>
      </c>
      <c r="AJ42">
        <v>-4.3404416283121544E-4</v>
      </c>
      <c r="AK42">
        <v>-3.4199156161581693E-4</v>
      </c>
      <c r="AL42">
        <v>-0.99818383789312171</v>
      </c>
      <c r="AM42">
        <v>-9.5780106957261964E-11</v>
      </c>
      <c r="AN42">
        <v>0.99937588636630803</v>
      </c>
      <c r="AO42">
        <v>-1.9961396843918893</v>
      </c>
      <c r="AP42">
        <v>0.99568526172729321</v>
      </c>
      <c r="AQ42">
        <v>-1.0004544226645959</v>
      </c>
      <c r="AR42">
        <v>2.9942187509431197</v>
      </c>
      <c r="AS42">
        <v>0.99807906655123058</v>
      </c>
      <c r="AT42">
        <v>-0.99806061784065847</v>
      </c>
      <c r="AU42">
        <v>1.9961396843918893</v>
      </c>
      <c r="AV42">
        <v>-2.996594107056485</v>
      </c>
      <c r="AX42">
        <v>-8.4766544469805218</v>
      </c>
    </row>
    <row r="45" spans="1:50" x14ac:dyDescent="0.15">
      <c r="A45" t="s">
        <v>76</v>
      </c>
    </row>
    <row r="46" spans="1:50" ht="16" x14ac:dyDescent="0.2">
      <c r="A46" s="25" t="s">
        <v>65</v>
      </c>
      <c r="B46" s="2" t="s">
        <v>64</v>
      </c>
      <c r="C46" s="2" t="s">
        <v>69</v>
      </c>
      <c r="D46" s="2" t="s">
        <v>66</v>
      </c>
      <c r="E46" s="2" t="s">
        <v>70</v>
      </c>
      <c r="F46" s="2" t="s">
        <v>71</v>
      </c>
      <c r="G46" s="2" t="s">
        <v>72</v>
      </c>
      <c r="H46" s="2" t="s">
        <v>67</v>
      </c>
      <c r="I46" s="2" t="s">
        <v>68</v>
      </c>
      <c r="J46" s="2" t="s">
        <v>62</v>
      </c>
    </row>
    <row r="47" spans="1:50" x14ac:dyDescent="0.15">
      <c r="A47" s="27">
        <v>1.0000000000000001E-5</v>
      </c>
      <c r="B47" s="4">
        <f t="shared" ref="B47:I47" si="3">B20</f>
        <v>2.0840858794249134E-4</v>
      </c>
      <c r="C47" s="4">
        <f t="shared" si="3"/>
        <v>4.3592506539497864E-4</v>
      </c>
      <c r="D47" s="4">
        <f t="shared" si="3"/>
        <v>0.99935580060335016</v>
      </c>
      <c r="E47" s="4">
        <f t="shared" si="3"/>
        <v>1.1421729341173277E-4</v>
      </c>
      <c r="F47" s="4">
        <f t="shared" si="3"/>
        <v>0.9997623232189965</v>
      </c>
      <c r="G47" s="4">
        <f t="shared" si="3"/>
        <v>1.0001234594875921</v>
      </c>
      <c r="H47" s="4">
        <f t="shared" si="3"/>
        <v>4.798266759878327E-11</v>
      </c>
      <c r="I47" s="4">
        <f t="shared" si="3"/>
        <v>2.082743312548116E-4</v>
      </c>
      <c r="J47" s="28">
        <f>-LOG(H47)</f>
        <v>10.318915611073757</v>
      </c>
      <c r="K47" s="1"/>
      <c r="L47" s="1"/>
    </row>
    <row r="49" spans="1:15" x14ac:dyDescent="0.15">
      <c r="B49" t="s">
        <v>74</v>
      </c>
    </row>
    <row r="50" spans="1:15" ht="16" x14ac:dyDescent="0.2">
      <c r="A50" s="25" t="s">
        <v>65</v>
      </c>
      <c r="B50" s="2" t="s">
        <v>64</v>
      </c>
      <c r="C50" s="2" t="s">
        <v>69</v>
      </c>
      <c r="D50" s="2" t="s">
        <v>66</v>
      </c>
      <c r="E50" s="2" t="s">
        <v>70</v>
      </c>
      <c r="F50" s="2" t="s">
        <v>71</v>
      </c>
      <c r="G50" s="2" t="s">
        <v>72</v>
      </c>
      <c r="H50" s="2" t="s">
        <v>67</v>
      </c>
      <c r="I50" s="2" t="s">
        <v>68</v>
      </c>
      <c r="J50" s="2" t="s">
        <v>62</v>
      </c>
      <c r="K50" s="2"/>
      <c r="L50" s="2"/>
      <c r="N50" s="2"/>
      <c r="O50" s="18"/>
    </row>
    <row r="51" spans="1:15" x14ac:dyDescent="0.15">
      <c r="A51" s="1">
        <v>1.0000000000000001E-5</v>
      </c>
      <c r="B51" s="3">
        <v>5.9187449148255175E-2</v>
      </c>
      <c r="C51" s="3">
        <v>1.2708122619605947E-6</v>
      </c>
      <c r="D51" s="3">
        <v>0.82737749749152467</v>
      </c>
      <c r="E51" s="3">
        <v>8.0282809761370762E-10</v>
      </c>
      <c r="F51" s="3">
        <v>1.9957284639226663E-3</v>
      </c>
      <c r="G51" s="3">
        <v>0.56698596946623847</v>
      </c>
      <c r="H51" s="3">
        <v>1.6895473858238361E-13</v>
      </c>
      <c r="I51" s="3">
        <v>4.8970363559188587E-2</v>
      </c>
      <c r="J51" s="2">
        <v>12.772229623295289</v>
      </c>
      <c r="K51" s="1"/>
      <c r="M51" s="1"/>
      <c r="N51" s="8"/>
      <c r="O51" s="17"/>
    </row>
    <row r="52" spans="1:15" x14ac:dyDescent="0.15">
      <c r="A52" s="1">
        <v>1E-3</v>
      </c>
      <c r="B52" s="3">
        <v>5.8642139425436363E-2</v>
      </c>
      <c r="C52" s="3">
        <v>1.2832901364776013E-6</v>
      </c>
      <c r="D52" s="3">
        <v>0.82780367032099056</v>
      </c>
      <c r="E52" s="3">
        <v>8.1780032460589673E-10</v>
      </c>
      <c r="F52" s="3">
        <v>2.0142209259428109E-3</v>
      </c>
      <c r="G52" s="3">
        <v>0.5669674769892461</v>
      </c>
      <c r="H52" s="3">
        <v>1.7052579675283084E-13</v>
      </c>
      <c r="I52" s="3">
        <v>4.8544178251848161E-2</v>
      </c>
      <c r="J52" s="2">
        <v>12.768209912624847</v>
      </c>
      <c r="K52" s="1"/>
      <c r="L52" s="1"/>
      <c r="M52" s="1"/>
      <c r="N52" s="1"/>
      <c r="O52" s="17"/>
    </row>
    <row r="53" spans="1:15" x14ac:dyDescent="0.15">
      <c r="A53" s="1">
        <v>0.01</v>
      </c>
      <c r="B53" s="3">
        <v>5.3705219454302247E-2</v>
      </c>
      <c r="C53" s="3">
        <v>1.4078233078662291E-6</v>
      </c>
      <c r="D53" s="3">
        <v>0.83168205667000006</v>
      </c>
      <c r="E53" s="3">
        <v>9.7474902634079594E-10</v>
      </c>
      <c r="F53" s="3">
        <v>2.1986652255428854E-3</v>
      </c>
      <c r="G53" s="3">
        <v>0.56678303253269735</v>
      </c>
      <c r="H53" s="3">
        <v>1.862016260401642E-13</v>
      </c>
      <c r="I53" s="3">
        <v>4.4665667369667095E-2</v>
      </c>
      <c r="J53" s="2">
        <v>12.730016530781167</v>
      </c>
      <c r="K53" s="1"/>
      <c r="M53" s="1"/>
      <c r="N53" s="8"/>
      <c r="O53" s="17"/>
    </row>
    <row r="54" spans="1:15" x14ac:dyDescent="0.15">
      <c r="A54" s="1">
        <v>0.03</v>
      </c>
      <c r="B54" s="3">
        <v>4.2885855020108221E-2</v>
      </c>
      <c r="C54" s="3">
        <v>1.7812822602182609E-6</v>
      </c>
      <c r="D54" s="3">
        <v>0.840309940308679</v>
      </c>
      <c r="E54" s="3">
        <v>1.5271277346254293E-9</v>
      </c>
      <c r="F54" s="3">
        <v>2.7506691299615236E-3</v>
      </c>
      <c r="G54" s="3">
        <v>0.56623102807589998</v>
      </c>
      <c r="H54" s="3">
        <v>2.3317623329618661E-13</v>
      </c>
      <c r="I54" s="3">
        <v>3.603741027203583E-2</v>
      </c>
      <c r="J54" s="2">
        <v>12.632315717525065</v>
      </c>
      <c r="K54" s="1"/>
      <c r="M54" s="1"/>
      <c r="N54" s="18"/>
      <c r="O54" s="17"/>
    </row>
    <row r="55" spans="1:15" x14ac:dyDescent="0.15">
      <c r="A55" s="1">
        <v>7.0000000000000007E-2</v>
      </c>
      <c r="B55" s="3">
        <v>2.2311821299335136E-2</v>
      </c>
      <c r="C55" s="3">
        <v>3.4927245683892669E-6</v>
      </c>
      <c r="D55" s="3">
        <v>0.8572195106035253</v>
      </c>
      <c r="E55" s="3">
        <v>5.6169559028210605E-9</v>
      </c>
      <c r="F55" s="3">
        <v>5.2636340498544935E-3</v>
      </c>
      <c r="G55" s="3">
        <v>0.56371805906617878</v>
      </c>
      <c r="H55" s="3">
        <v>4.4819139794313335E-13</v>
      </c>
      <c r="I55" s="3">
        <v>1.9126128534881624E-2</v>
      </c>
      <c r="J55" s="2">
        <v>12.348536483056826</v>
      </c>
      <c r="K55" s="1"/>
      <c r="M55" s="1"/>
      <c r="N55" s="18"/>
      <c r="O55" s="17"/>
    </row>
    <row r="56" spans="1:15" x14ac:dyDescent="0.15">
      <c r="A56" s="1">
        <v>0.1</v>
      </c>
      <c r="B56" s="3">
        <v>9.7076981612763992E-3</v>
      </c>
      <c r="C56" s="3">
        <v>8.1277159219723182E-6</v>
      </c>
      <c r="D56" s="3">
        <v>0.86791554203547949</v>
      </c>
      <c r="E56" s="3">
        <v>2.9319303857114003E-8</v>
      </c>
      <c r="F56" s="3">
        <v>1.195416209185623E-2</v>
      </c>
      <c r="G56" s="3">
        <v>0.55702750732182915</v>
      </c>
      <c r="H56" s="3">
        <v>1.0301083808355512E-12</v>
      </c>
      <c r="I56" s="3">
        <v>8.4254621115734604E-3</v>
      </c>
      <c r="J56" s="2">
        <v>11.987117079447653</v>
      </c>
      <c r="K56" s="1"/>
      <c r="M56" s="1"/>
      <c r="N56" s="18"/>
      <c r="O56" s="17"/>
    </row>
    <row r="57" spans="1:15" x14ac:dyDescent="0.15">
      <c r="A57" s="1">
        <v>0.15</v>
      </c>
      <c r="B57" s="3">
        <v>2.2597370147959513E-3</v>
      </c>
      <c r="C57" s="3">
        <v>3.5174575110749746E-5</v>
      </c>
      <c r="D57" s="3">
        <v>0.87433818293244125</v>
      </c>
      <c r="E57" s="3">
        <v>5.0604827535612611E-7</v>
      </c>
      <c r="F57" s="3">
        <v>4.8028512868698817E-2</v>
      </c>
      <c r="G57" s="3">
        <v>0.52095267981601523</v>
      </c>
      <c r="H57" s="3">
        <v>4.4252881511478102E-12</v>
      </c>
      <c r="I57" s="3">
        <v>1.9757743554234368E-3</v>
      </c>
      <c r="J57" s="2">
        <v>11.354058445106482</v>
      </c>
      <c r="K57" s="1"/>
      <c r="M57" s="1"/>
      <c r="N57" s="18"/>
      <c r="O57" s="17"/>
    </row>
    <row r="58" spans="1:15" x14ac:dyDescent="0.15">
      <c r="A58" s="1">
        <v>0.2</v>
      </c>
      <c r="B58" s="3">
        <v>1.0305579168285329E-3</v>
      </c>
      <c r="C58" s="3">
        <v>7.7219407864514603E-5</v>
      </c>
      <c r="D58" s="3">
        <v>0.87536979318459063</v>
      </c>
      <c r="E58" s="3">
        <v>2.2105507636814315E-6</v>
      </c>
      <c r="F58" s="3">
        <v>9.568022484281942E-2</v>
      </c>
      <c r="G58" s="3">
        <v>0.47329926333940592</v>
      </c>
      <c r="H58" s="3">
        <v>9.7034756368536372E-12</v>
      </c>
      <c r="I58" s="3">
        <v>9.0211927052009575E-4</v>
      </c>
      <c r="J58" s="2">
        <v>11.013072680213817</v>
      </c>
      <c r="K58" s="1"/>
      <c r="M58" s="1"/>
      <c r="N58" s="18"/>
      <c r="O58" s="17"/>
    </row>
    <row r="59" spans="1:15" x14ac:dyDescent="0.15">
      <c r="A59" s="1">
        <v>0.3</v>
      </c>
      <c r="B59" s="3">
        <v>4.0153909218758018E-4</v>
      </c>
      <c r="C59" s="3">
        <v>1.9828233164975351E-4</v>
      </c>
      <c r="D59" s="3">
        <v>0.8757991819228762</v>
      </c>
      <c r="E59" s="3">
        <v>1.1524766699234987E-5</v>
      </c>
      <c r="F59" s="3">
        <v>0.19436106298525063</v>
      </c>
      <c r="G59" s="3">
        <v>0.37460911098103966</v>
      </c>
      <c r="H59" s="3">
        <v>2.4904170679395189E-11</v>
      </c>
      <c r="I59" s="3">
        <v>3.5166760844934685E-4</v>
      </c>
      <c r="J59" s="2">
        <v>10.603727915901453</v>
      </c>
      <c r="K59" s="1"/>
      <c r="M59" s="1"/>
      <c r="N59" s="18"/>
      <c r="O59" s="17"/>
    </row>
    <row r="60" spans="1:15" x14ac:dyDescent="0.15">
      <c r="A60" s="1">
        <v>0.5</v>
      </c>
      <c r="B60" s="3">
        <v>9.3274678992152761E-5</v>
      </c>
      <c r="C60" s="3">
        <v>8.5321242486157182E-4</v>
      </c>
      <c r="D60" s="3">
        <v>0.87541426545351775</v>
      </c>
      <c r="E60" s="3">
        <v>1.0030545768059901E-4</v>
      </c>
      <c r="F60" s="3">
        <v>0.39295029339072102</v>
      </c>
      <c r="G60" s="3">
        <v>0.17593109988458713</v>
      </c>
      <c r="H60" s="3">
        <v>1.072102556795687E-10</v>
      </c>
      <c r="I60" s="3">
        <v>8.1653984595802566E-5</v>
      </c>
      <c r="J60" s="2">
        <v>9.9697636682626047</v>
      </c>
      <c r="K60" s="1"/>
      <c r="M60" s="1"/>
      <c r="N60" s="18"/>
      <c r="O60" s="17"/>
    </row>
    <row r="61" spans="1:15" x14ac:dyDescent="0.15">
      <c r="A61" s="1">
        <v>1</v>
      </c>
      <c r="B61" s="3">
        <v>2.076177689462735E-7</v>
      </c>
      <c r="C61" s="3">
        <v>0.26687076475783128</v>
      </c>
      <c r="D61" s="3">
        <v>0.60947824056662758</v>
      </c>
      <c r="E61" s="3">
        <v>5.8485247228428384E-2</v>
      </c>
      <c r="F61" s="3">
        <v>0.50998821495072866</v>
      </c>
      <c r="G61" s="3">
        <v>5.0823655383216016E-4</v>
      </c>
      <c r="H61" s="3">
        <v>4.8165434242312238E-8</v>
      </c>
      <c r="I61" s="3">
        <v>1.2653851602558837E-7</v>
      </c>
      <c r="J61" s="2">
        <v>7.3172645199165913</v>
      </c>
      <c r="K61" s="1"/>
      <c r="M61" s="1"/>
      <c r="N61" s="18"/>
      <c r="O61" s="17"/>
    </row>
  </sheetData>
  <pageMargins left="0.75" right="0.75" top="1" bottom="1" header="0.5" footer="0.5"/>
  <pageSetup paperSize="4" scale="7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IO_sheet</vt:lpstr>
      <vt:lpstr>ionic_calcs</vt:lpstr>
      <vt:lpstr>validation_ph_water</vt:lpstr>
      <vt:lpstr>ionic_calcs_user_guide_example</vt:lpstr>
      <vt:lpstr>ionic_calcs!Print_Area</vt:lpstr>
      <vt:lpstr>ionic_calcs_user_guide_example!Print_Area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Dorma</dc:creator>
  <cp:lastModifiedBy>Kevin Dorma</cp:lastModifiedBy>
  <cp:lastPrinted>2006-01-13T17:19:26Z</cp:lastPrinted>
  <dcterms:created xsi:type="dcterms:W3CDTF">2005-07-21T03:08:29Z</dcterms:created>
  <dcterms:modified xsi:type="dcterms:W3CDTF">2021-07-30T13:28:44Z</dcterms:modified>
</cp:coreProperties>
</file>